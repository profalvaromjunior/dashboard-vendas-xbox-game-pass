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</sheets>
  <definedNames>
    <definedName name="_xlnm.Print_Area" localSheetId="3">'D̳ashboard'!$A$1:$AK$77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R$&quot;\ * #,##0.00_-;\-&quot;R$&quot;\ * #,##0.00_-;_-&quot;R$&quot;\ * &quot;-&quot;??_-;_-@_-"/>
    <numFmt numFmtId="165" formatCode="&quot;R$&quot; #,##0.00"/>
    <numFmt numFmtId="166" formatCode="&quot;R$&quot; #,##0"/>
    <numFmt numFmtId="167" formatCode="&quot;R$&quot; #,##0;-&quot;R$&quot; #,##0;;"/>
    <numFmt numFmtId="168" formatCode="yyyy-mm-dd"/>
    <numFmt numFmtId="169" formatCode="dd/mm/yyyy"/>
  </numFmts>
  <fonts count="21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Segoe UI"/>
      <b val="1"/>
      <color rgb="00111A14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11A14"/>
      <sz val="10"/>
    </font>
    <font>
      <name val="Segoe UI"/>
      <color rgb="00111A14"/>
      <sz val="10"/>
    </font>
    <font>
      <name val="Segoe UI"/>
      <b val="1"/>
      <color rgb="000B6B2F"/>
      <sz val="10"/>
    </font>
    <font>
      <name val="Segoe UI"/>
      <b val="1"/>
      <color rgb="00111A14"/>
      <sz val="12"/>
    </font>
    <font>
      <name val="Segoe UI"/>
      <b val="1"/>
      <color rgb="00FFFFFF"/>
      <sz val="20"/>
    </font>
    <font>
      <name val="Segoe UI"/>
      <color rgb="005BF6A8"/>
      <sz val="10"/>
    </font>
    <font>
      <name val="Segoe UI"/>
      <b val="1"/>
      <color rgb="00FFFFFF"/>
      <sz val="9"/>
    </font>
    <font>
      <name val="Segoe UI"/>
      <b val="1"/>
      <color rgb="00111A14"/>
      <sz val="11"/>
    </font>
    <font>
      <name val="Segoe UI"/>
      <i val="1"/>
      <color rgb="006B7280"/>
      <sz val="9"/>
    </font>
    <font>
      <name val="Segoe UI"/>
      <b val="1"/>
      <color rgb="0022C55E"/>
      <sz val="22"/>
    </font>
    <font>
      <name val="Segoe UI"/>
      <color rgb="006B7280"/>
      <sz val="8"/>
    </font>
    <font>
      <name val="Segoe UI"/>
      <b val="1"/>
      <color rgb="0022C55E"/>
      <sz val="20"/>
    </font>
    <font>
      <name val="Segoe UI"/>
      <i val="1"/>
      <color rgb="006B7280"/>
      <sz val="8"/>
    </font>
  </fonts>
  <fills count="1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22C55E"/>
      </patternFill>
    </fill>
    <fill>
      <patternFill patternType="solid">
        <fgColor rgb="00111A14"/>
      </patternFill>
    </fill>
    <fill>
      <patternFill patternType="solid">
        <fgColor rgb="00F3F4F6"/>
      </patternFill>
    </fill>
    <fill>
      <patternFill patternType="solid">
        <fgColor rgb="00E8E6E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bottom style="thin">
        <color rgb="00D1D5DB"/>
      </bottom>
    </border>
    <border>
      <bottom style="thick">
        <color rgb="0022C5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top style="thin">
        <color rgb="00D1D5DB"/>
      </top>
    </border>
    <border>
      <top style="thin">
        <color rgb="00D1D5DB"/>
      </top>
    </border>
    <border>
      <right style="thin">
        <color rgb="00D1D5DB"/>
      </right>
      <top style="thin">
        <color rgb="00D1D5DB"/>
      </top>
    </border>
    <border>
      <left style="thin">
        <color rgb="00D1D5DB"/>
      </left>
    </border>
    <border/>
    <border>
      <right style="thin">
        <color rgb="00D1D5DB"/>
      </right>
    </border>
    <border>
      <left style="thin">
        <color rgb="00D1D5DB"/>
      </left>
      <bottom style="thin">
        <color rgb="00D1D5DB"/>
      </bottom>
    </border>
    <border>
      <right style="thin">
        <color rgb="00D1D5DB"/>
      </right>
      <bottom style="thin">
        <color rgb="00D1D5DB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</borders>
  <cellStyleXfs count="3">
    <xf numFmtId="0" fontId="2" fillId="0" borderId="0"/>
    <xf numFmtId="0" fontId="1" fillId="0" borderId="1"/>
    <xf numFmtId="44" fontId="2" fillId="0" borderId="0"/>
  </cellStyleXfs>
  <cellXfs count="61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8" borderId="0" pivotButton="0" quotePrefix="0" xfId="0"/>
    <xf numFmtId="0" fontId="0" fillId="8" borderId="0" pivotButton="0" quotePrefix="0" xfId="0"/>
    <xf numFmtId="0" fontId="10" fillId="0" borderId="0" pivotButton="0" quotePrefix="0" xfId="0"/>
    <xf numFmtId="165" fontId="11" fillId="0" borderId="0" pivotButton="0" quotePrefix="0" xfId="0"/>
    <xf numFmtId="0" fontId="7" fillId="9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0" borderId="2" pivotButton="0" quotePrefix="0" xfId="0"/>
    <xf numFmtId="165" fontId="9" fillId="0" borderId="2" applyAlignment="1" pivotButton="0" quotePrefix="0" xfId="0">
      <alignment horizontal="right"/>
    </xf>
    <xf numFmtId="1" fontId="9" fillId="0" borderId="2" applyAlignment="1" pivotButton="0" quotePrefix="0" xfId="0">
      <alignment horizontal="right"/>
    </xf>
    <xf numFmtId="0" fontId="8" fillId="10" borderId="2" pivotButton="0" quotePrefix="0" xfId="0"/>
    <xf numFmtId="165" fontId="8" fillId="10" borderId="2" applyAlignment="1" pivotButton="0" quotePrefix="0" xfId="0">
      <alignment horizontal="right"/>
    </xf>
    <xf numFmtId="1" fontId="8" fillId="10" borderId="2" applyAlignment="1" pivotButton="0" quotePrefix="0" xfId="0">
      <alignment horizontal="right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167" fontId="9" fillId="0" borderId="2" applyAlignment="1" pivotButton="0" quotePrefix="0" xfId="0">
      <alignment horizontal="right"/>
    </xf>
    <xf numFmtId="169" fontId="9" fillId="0" borderId="2" applyAlignment="1" pivotButton="0" quotePrefix="0" xfId="0">
      <alignment horizontal="right"/>
    </xf>
    <xf numFmtId="0" fontId="9" fillId="0" borderId="0" pivotButton="0" quotePrefix="0" xfId="0"/>
    <xf numFmtId="0" fontId="0" fillId="11" borderId="0" pivotButton="0" quotePrefix="0" xfId="0"/>
    <xf numFmtId="0" fontId="0" fillId="9" borderId="0" pivotButton="0" quotePrefix="0" xfId="0"/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0" fillId="9" borderId="3" pivotButton="0" quotePrefix="0" xfId="0"/>
    <xf numFmtId="0" fontId="14" fillId="8" borderId="0" applyAlignment="1" pivotButton="0" quotePrefix="0" xfId="0">
      <alignment horizontal="center" vertical="center" wrapText="1"/>
    </xf>
    <xf numFmtId="0" fontId="15" fillId="12" borderId="4" applyAlignment="1" pivotButton="0" quotePrefix="0" xfId="0">
      <alignment horizontal="center" vertical="center" wrapText="1"/>
    </xf>
    <xf numFmtId="0" fontId="0" fillId="12" borderId="4" pivotButton="0" quotePrefix="0" xfId="0"/>
    <xf numFmtId="0" fontId="16" fillId="11" borderId="0" applyAlignment="1" pivotButton="0" quotePrefix="0" xfId="0">
      <alignment horizontal="left" vertical="center"/>
    </xf>
    <xf numFmtId="0" fontId="14" fillId="8" borderId="5" applyAlignment="1" pivotButton="0" quotePrefix="0" xfId="0">
      <alignment horizontal="center" vertical="center" wrapText="1"/>
    </xf>
    <xf numFmtId="0" fontId="0" fillId="8" borderId="6" pivotButton="0" quotePrefix="0" xfId="0"/>
    <xf numFmtId="0" fontId="0" fillId="8" borderId="7" pivotButton="0" quotePrefix="0" xfId="0"/>
    <xf numFmtId="165" fontId="17" fillId="12" borderId="8" applyAlignment="1" pivotButton="0" quotePrefix="0" xfId="0">
      <alignment horizontal="center" vertical="center" wrapText="1"/>
    </xf>
    <xf numFmtId="0" fontId="0" fillId="12" borderId="9" pivotButton="0" quotePrefix="0" xfId="0"/>
    <xf numFmtId="0" fontId="0" fillId="12" borderId="10" pivotButton="0" quotePrefix="0" xfId="0"/>
    <xf numFmtId="1" fontId="17" fillId="12" borderId="8" applyAlignment="1" pivotButton="0" quotePrefix="0" xfId="0">
      <alignment horizontal="center" vertical="center" wrapText="1"/>
    </xf>
    <xf numFmtId="0" fontId="0" fillId="12" borderId="8" pivotButton="0" quotePrefix="0" xfId="0"/>
    <xf numFmtId="165" fontId="17" fillId="12" borderId="9" applyAlignment="1" pivotButton="0" quotePrefix="0" xfId="0">
      <alignment horizontal="center" vertical="center" wrapText="1"/>
    </xf>
    <xf numFmtId="0" fontId="18" fillId="12" borderId="11" applyAlignment="1" pivotButton="0" quotePrefix="0" xfId="0">
      <alignment horizontal="center" vertical="center" wrapText="1"/>
    </xf>
    <xf numFmtId="0" fontId="0" fillId="12" borderId="2" pivotButton="0" quotePrefix="0" xfId="0"/>
    <xf numFmtId="0" fontId="0" fillId="12" borderId="12" pivotButton="0" quotePrefix="0" xfId="0"/>
    <xf numFmtId="0" fontId="14" fillId="9" borderId="0" applyAlignment="1" pivotButton="0" quotePrefix="0" xfId="0">
      <alignment horizontal="center" vertical="center" wrapText="1"/>
    </xf>
    <xf numFmtId="0" fontId="8" fillId="12" borderId="13" applyAlignment="1" pivotButton="0" quotePrefix="0" xfId="0">
      <alignment horizontal="left" vertical="center" wrapText="1" indent="1"/>
    </xf>
    <xf numFmtId="0" fontId="0" fillId="12" borderId="14" pivotButton="0" quotePrefix="0" xfId="0"/>
    <xf numFmtId="0" fontId="0" fillId="12" borderId="15" pivotButton="0" quotePrefix="0" xfId="0"/>
    <xf numFmtId="0" fontId="0" fillId="12" borderId="11" pivotButton="0" quotePrefix="0" xfId="0"/>
    <xf numFmtId="165" fontId="19" fillId="12" borderId="8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center" vertical="center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'C̳álculos'!C50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&quot;R$&quot; #,##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9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'C̳álculos'!$B$51:$B$53</f>
            </numRef>
          </cat>
          <val>
            <numRef>
              <f>'C̳álculos'!$C$51:$C$53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11A14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111A14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'C̳álculos'!C56</f>
            </strRef>
          </tx>
          <spPr>
            <a:solidFill xmlns:a="http://schemas.openxmlformats.org/drawingml/2006/main">
              <a:srgbClr val="9BC848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B6B2F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&quot;R$&quot; #,##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9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'C̳álculos'!$B$57:$B$59</f>
            </numRef>
          </cat>
          <val>
            <numRef>
              <f>'C̳álculos'!$C$57:$C$59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11A14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111A14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'C̳álculos'!C62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&quot;R$&quot; #,##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'C̳álculos'!$B$63:$B$74</f>
            </numRef>
          </cat>
          <val>
            <numRef>
              <f>'C̳álculos'!$C$63:$C$74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'C̳álculos'!D62</f>
            </strRef>
          </tx>
          <spPr>
            <a:ln xmlns:a="http://schemas.openxmlformats.org/drawingml/2006/main" w="28575">
              <a:solidFill>
                <a:srgbClr val="111A1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111A14"/>
                </a:solidFill>
                <a:prstDash val="solid"/>
              </a:ln>
            </spPr>
          </marker>
          <val>
            <numRef>
              <f>'C̳álculos'!$D$63:$D$74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11A14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111A14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EEEE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11A14"/>
              </a:solidFill>
              <a:latin typeface="Segoe UI"/>
            </a:defRPr>
          </a:pPr>
          <a:r>
            <a:t/>
          </a:r>
          <a:endParaRPr sz="900" b="0">
            <a:solidFill>
              <a:srgbClr val="111A14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'C̳álculos'!C77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11A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'C̳álculos'!$B$78:$B$79</f>
            </numRef>
          </cat>
          <val>
            <numRef>
              <f>'C̳álculos'!$C$78:$C$79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FFFFFF"/>
                  </a:solidFill>
                  <a:latin typeface="Segoe UI"/>
                </a:defRPr>
              </a:pPr>
              <a:r>
                <a:t/>
              </a:r>
              <a:endParaRPr sz="1000" b="1">
                <a:solidFill>
                  <a:srgbClr val="FFFFFF"/>
                </a:solidFill>
                <a:latin typeface="Segoe UI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11A14"/>
              </a:solidFill>
              <a:latin typeface="Segoe UI"/>
            </a:defRPr>
          </a:pPr>
          <a:r>
            <a:t/>
          </a:r>
          <a:endParaRPr sz="900" b="0">
            <a:solidFill>
              <a:srgbClr val="111A14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'C̳álculos'!D50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&quot;R$&quot; #,##0;-&quot;R$&quot; #,##0;;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'C̳álculos'!$B$51:$B$53</f>
            </numRef>
          </cat>
          <val>
            <numRef>
              <f>'C̳álculos'!$D$51:$D$53</f>
            </numRef>
          </val>
        </ser>
        <ser>
          <idx val="1"/>
          <order val="1"/>
          <tx>
            <strRef>
              <f>'C̳álculos'!E50</f>
            </strRef>
          </tx>
          <spPr>
            <a:solidFill xmlns:a="http://schemas.openxmlformats.org/drawingml/2006/main">
              <a:srgbClr val="111A1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&quot;R$&quot; #,##0;-&quot;R$&quot; #,##0;;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'C̳álculos'!$B$51:$B$53</f>
            </numRef>
          </cat>
          <val>
            <numRef>
              <f>'C̳álculos'!$E$51:$E$53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11A14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111A14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&quot;R$&quot; 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11A14"/>
              </a:solidFill>
              <a:latin typeface="Segoe UI"/>
            </a:defRPr>
          </a:pPr>
          <a:r>
            <a:t/>
          </a:r>
          <a:endParaRPr sz="900" b="0">
            <a:solidFill>
              <a:srgbClr val="111A14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'C̳álculos'!C82</f>
            </strRef>
          </tx>
          <spPr>
            <a:solidFill xmlns:a="http://schemas.openxmlformats.org/drawingml/2006/main">
              <a:srgbClr val="9BC848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'C̳álculos'!$B$83:$B$85</f>
            </numRef>
          </cat>
          <val>
            <numRef>
              <f>'C̳álculos'!$C$83:$C$85</f>
            </numRef>
          </val>
        </ser>
        <ser>
          <idx val="1"/>
          <order val="1"/>
          <tx>
            <strRef>
              <f>'C̳álculos'!D82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'C̳álculos'!$B$83:$B$85</f>
            </numRef>
          </cat>
          <val>
            <numRef>
              <f>'C̳álculos'!$D$83:$D$85</f>
            </numRef>
          </val>
        </ser>
        <ser>
          <idx val="2"/>
          <order val="2"/>
          <tx>
            <strRef>
              <f>'C̳álculos'!E82</f>
            </strRef>
          </tx>
          <spPr>
            <a:solidFill xmlns:a="http://schemas.openxmlformats.org/drawingml/2006/main">
              <a:srgbClr val="0B6B2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11A14"/>
                    </a:solidFill>
                    <a:latin typeface="Segoe UI"/>
                  </a:defRPr>
                </a:pPr>
                <a:r>
                  <a:t/>
                </a:r>
                <a:endParaRPr sz="800" b="1">
                  <a:solidFill>
                    <a:srgbClr val="111A14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'C̳álculos'!$B$83:$B$85</f>
            </numRef>
          </cat>
          <val>
            <numRef>
              <f>'C̳álculos'!$E$83:$E$85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1D5D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11A14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111A14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11A14"/>
              </a:solidFill>
              <a:latin typeface="Segoe UI"/>
            </a:defRPr>
          </a:pPr>
          <a:r>
            <a:t/>
          </a:r>
          <a:endParaRPr sz="900" b="0">
            <a:solidFill>
              <a:srgbClr val="111A14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6.png" Id="rId7"/><Relationship Type="http://schemas.openxmlformats.org/officeDocument/2006/relationships/image" Target="/xl/media/image7.png" Id="rId8"/><Relationship Type="http://schemas.openxmlformats.org/officeDocument/2006/relationships/image" Target="/xl/media/image8.png" Id="rId9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twoCellAnchor editAs="twoCell">
    <from>
      <col>1</col>
      <colOff>0</colOff>
      <row>16</row>
      <rowOff>0</rowOff>
    </from>
    <to>
      <col>18</col>
      <colOff>0</colOff>
      <row>32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twoCell">
    <from>
      <col>19</col>
      <colOff>0</colOff>
      <row>16</row>
      <rowOff>0</rowOff>
    </from>
    <to>
      <col>36</col>
      <colOff>0</colOff>
      <row>32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twoCell">
    <from>
      <col>1</col>
      <colOff>0</colOff>
      <row>34</row>
      <rowOff>0</rowOff>
    </from>
    <to>
      <col>24</col>
      <colOff>0</colOff>
      <row>50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twoCell">
    <from>
      <col>25</col>
      <colOff>0</colOff>
      <row>34</row>
      <rowOff>0</rowOff>
    </from>
    <to>
      <col>36</col>
      <colOff>0</colOff>
      <row>50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twoCell">
    <from>
      <col>1</col>
      <colOff>0</colOff>
      <row>52</row>
      <rowOff>0</rowOff>
    </from>
    <to>
      <col>18</col>
      <colOff>0</colOff>
      <row>68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twoCell">
    <from>
      <col>19</col>
      <colOff>0</colOff>
      <row>52</row>
      <rowOff>0</rowOff>
    </from>
    <to>
      <col>36</col>
      <colOff>0</colOff>
      <row>68</row>
      <rowOff>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oneCellAnchor>
    <from>
      <col>1</col>
      <colOff>114300</colOff>
      <row>2</row>
      <rowOff>19050</rowOff>
    </from>
    <ext cx="1200150" cy="428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57150</colOff>
      <row>9</row>
      <rowOff>85725</rowOff>
    </from>
    <ext cx="36195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9</row>
      <rowOff>85725</rowOff>
    </from>
    <ext cx="361950" cy="361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0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tabSelected="0"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P91"/>
  <sheetViews>
    <sheetView showGridLines="0" tabSelected="0" workbookViewId="0">
      <selection activeCell="A1" sqref="A1:XFD1048576"/>
    </sheetView>
  </sheetViews>
  <sheetFormatPr baseColWidth="8" defaultRowHeight="15"/>
  <cols>
    <col width="3" customWidth="1" min="1" max="1"/>
    <col width="44" customWidth="1" min="2" max="2"/>
    <col width="20" bestFit="1" customWidth="1" min="3" max="3"/>
    <col width="20" bestFit="1" customWidth="1" min="4" max="4"/>
    <col width="20" customWidth="1" min="5" max="5"/>
    <col width="20" bestFit="1" customWidth="1" min="6" max="6"/>
    <col width="3" bestFit="1" customWidth="1" min="7" max="7"/>
    <col width="16" customWidth="1" min="8" max="8"/>
    <col width="16" bestFit="1" customWidth="1" min="9" max="9"/>
    <col width="16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1">
      <c r="B1" s="13" t="inlineStr">
        <is>
          <t>CÁLCULOS · XBOX GAME PASS</t>
        </is>
      </c>
    </row>
    <row r="2">
      <c r="B2" s="14" t="inlineStr">
        <is>
          <t>Todas as fórmulas leem a aba de dados (Bases). O dashboard é alimentado por esta aba.</t>
        </is>
      </c>
    </row>
    <row r="3"/>
    <row r="4">
      <c r="B4" s="15" t="inlineStr">
        <is>
          <t>PERGUNTAS DE NEGÓCIO (independentes dos filtros do dashboard)</t>
        </is>
      </c>
      <c r="C4" s="16" t="n"/>
      <c r="D4" s="16" t="n"/>
      <c r="E4" s="16" t="n"/>
      <c r="F4" s="16" t="n"/>
    </row>
    <row r="5"/>
    <row r="6">
      <c r="B6" s="17" t="inlineStr">
        <is>
          <t>Pergunta 1 · Faturamento total de vendas de planos anuais (todas as assinaturas agregadas)</t>
        </is>
      </c>
      <c r="C6" s="18">
        <f>SUMIFS('B̳ases'!$M$2:$M$1000,'B̳ases'!$G$2:$G$1000,"Annual")</f>
        <v>1754</v>
      </c>
    </row>
    <row r="7"/>
    <row r="8">
      <c r="B8" s="17" t="inlineStr">
        <is>
          <t>Pergunta 2 · Faturamento de planos anuais, separado por auto-renovação</t>
        </is>
      </c>
    </row>
    <row r="9">
      <c r="B9" s="19" t="inlineStr">
        <is>
          <t>Auto-renovação</t>
        </is>
      </c>
      <c r="C9" s="20" t="inlineStr">
        <is>
          <t>Faturamento</t>
        </is>
      </c>
      <c r="D9" s="20" t="inlineStr">
        <is>
          <t>Assinantes</t>
        </is>
      </c>
    </row>
    <row r="10">
      <c r="B10" s="21" t="inlineStr">
        <is>
          <t>Sim</t>
        </is>
      </c>
      <c r="C10" s="22">
        <f>SUMIFS('B̳ases'!$M$2:$M$1000,'B̳ases'!$G$2:$G$1000,"Annual",'B̳ases'!$E$2:$E$1000,"Yes")</f>
        <v>1537</v>
      </c>
      <c r="D10" s="23">
        <f>COUNTIFS('B̳ases'!$G$2:$G$1000,"Annual",'B̳ases'!$E$2:$E$1000,"Yes")</f>
        <v>60</v>
      </c>
    </row>
    <row r="11">
      <c r="B11" s="21" t="inlineStr">
        <is>
          <t>Não</t>
        </is>
      </c>
      <c r="C11" s="22">
        <f>SUMIFS('B̳ases'!$M$2:$M$1000,'B̳ases'!$G$2:$G$1000,"Annual",'B̳ases'!$E$2:$E$1000,"No")</f>
        <v>217</v>
      </c>
      <c r="D11" s="23">
        <f>COUNTIFS('B̳ases'!$G$2:$G$1000,"Annual",'B̳ases'!$E$2:$E$1000,"No")</f>
        <v>11</v>
      </c>
    </row>
    <row r="12">
      <c r="B12" s="24" t="inlineStr">
        <is>
          <t>Total</t>
        </is>
      </c>
      <c r="C12" s="25">
        <f>C10+C11</f>
        <v>1754</v>
      </c>
      <c r="D12" s="26">
        <f>D10+D11</f>
        <v>71</v>
      </c>
    </row>
    <row r="13"/>
    <row r="14">
      <c r="B14" s="17" t="inlineStr">
        <is>
          <t>Pergunta 3 · Total de vendas de assinaturas do EA Play Season Pass (por plano)</t>
        </is>
      </c>
    </row>
    <row r="15">
      <c r="B15" s="19" t="inlineStr">
        <is>
          <t>Plano</t>
        </is>
      </c>
      <c r="C15" s="20" t="inlineStr">
        <is>
          <t>Vendas EA Play</t>
        </is>
      </c>
      <c r="D15" s="20" t="inlineStr">
        <is>
          <t>Assinantes</t>
        </is>
      </c>
    </row>
    <row r="16">
      <c r="B16" s="21" t="inlineStr">
        <is>
          <t>Core</t>
        </is>
      </c>
      <c r="C16" s="22">
        <f>SUMIFS('B̳ases'!$I$2:$I$1000,'B̳ases'!$C$2:$C$1000,"Core")</f>
        <v>0</v>
      </c>
      <c r="D16" s="23">
        <f>COUNTIFS('B̳ases'!$C$2:$C$1000,"Core",'B̳ases'!$H$2:$H$1000,"Yes")</f>
        <v>0</v>
      </c>
    </row>
    <row r="17">
      <c r="B17" s="21" t="inlineStr">
        <is>
          <t>Standard</t>
        </is>
      </c>
      <c r="C17" s="22">
        <f>SUMIFS('B̳ases'!$I$2:$I$1000,'B̳ases'!$C$2:$C$1000,"Standard")</f>
        <v>0</v>
      </c>
      <c r="D17" s="23">
        <f>COUNTIFS('B̳ases'!$C$2:$C$1000,"Standard",'B̳ases'!$H$2:$H$1000,"Yes")</f>
        <v>0</v>
      </c>
    </row>
    <row r="18">
      <c r="B18" s="21" t="inlineStr">
        <is>
          <t>Ultimate</t>
        </is>
      </c>
      <c r="C18" s="22">
        <f>SUMIFS('B̳ases'!$I$2:$I$1000,'B̳ases'!$C$2:$C$1000,"Ultimate")</f>
        <v>2940</v>
      </c>
      <c r="D18" s="23">
        <f>COUNTIFS('B̳ases'!$C$2:$C$1000,"Ultimate",'B̳ases'!$H$2:$H$1000,"Yes")</f>
        <v>98</v>
      </c>
    </row>
    <row r="19">
      <c r="B19" s="24" t="inlineStr">
        <is>
          <t>Total</t>
        </is>
      </c>
      <c r="C19" s="25">
        <f>SUM(C16:C18)</f>
        <v>2940</v>
      </c>
      <c r="D19" s="26">
        <f>SUM(D16:D18)</f>
        <v>98</v>
      </c>
    </row>
    <row r="20"/>
    <row r="21">
      <c r="B21" s="17" t="inlineStr">
        <is>
          <t>Pergunta 4 · Total de vendas de assinaturas do Minecraft Season Pass (por plano)</t>
        </is>
      </c>
    </row>
    <row r="22">
      <c r="B22" s="19" t="inlineStr">
        <is>
          <t>Plano</t>
        </is>
      </c>
      <c r="C22" s="20" t="inlineStr">
        <is>
          <t>Vendas Minecraft</t>
        </is>
      </c>
      <c r="D22" s="20" t="inlineStr">
        <is>
          <t>Assinantes</t>
        </is>
      </c>
    </row>
    <row r="23">
      <c r="B23" s="21" t="inlineStr">
        <is>
          <t>Core</t>
        </is>
      </c>
      <c r="C23" s="22">
        <f>SUMIFS('B̳ases'!$K$2:$K$1000,'B̳ases'!$C$2:$C$1000,"Core")</f>
        <v>0</v>
      </c>
      <c r="D23" s="23">
        <f>COUNTIFS('B̳ases'!$C$2:$C$1000,"Core",'B̳ases'!$J$2:$J$1000,"Yes")</f>
        <v>0</v>
      </c>
    </row>
    <row r="24">
      <c r="B24" s="21" t="inlineStr">
        <is>
          <t>Standard</t>
        </is>
      </c>
      <c r="C24" s="22">
        <f>SUMIFS('B̳ases'!$K$2:$K$1000,'B̳ases'!$C$2:$C$1000,"Standard")</f>
        <v>1920</v>
      </c>
      <c r="D24" s="23">
        <f>COUNTIFS('B̳ases'!$C$2:$C$1000,"Standard",'B̳ases'!$J$2:$J$1000,"Yes")</f>
        <v>96</v>
      </c>
    </row>
    <row r="25">
      <c r="B25" s="21" t="inlineStr">
        <is>
          <t>Ultimate</t>
        </is>
      </c>
      <c r="C25" s="22">
        <f>SUMIFS('B̳ases'!$K$2:$K$1000,'B̳ases'!$C$2:$C$1000,"Ultimate")</f>
        <v>1960</v>
      </c>
      <c r="D25" s="23">
        <f>COUNTIFS('B̳ases'!$C$2:$C$1000,"Ultimate",'B̳ases'!$J$2:$J$1000,"Yes")</f>
        <v>98</v>
      </c>
    </row>
    <row r="26">
      <c r="B26" s="24" t="inlineStr">
        <is>
          <t>Total</t>
        </is>
      </c>
      <c r="C26" s="25">
        <f>SUM(C23:C25)</f>
        <v>3880</v>
      </c>
      <c r="D26" s="26">
        <f>SUM(D23:D25)</f>
        <v>194</v>
      </c>
    </row>
    <row r="27"/>
    <row r="28"/>
    <row r="29">
      <c r="B29" s="15" t="inlineStr">
        <is>
          <t>FILTROS DO DASHBOARD (critérios usados nas fórmulas abaixo)</t>
        </is>
      </c>
      <c r="C29" s="16" t="n"/>
      <c r="D29" s="16" t="n"/>
      <c r="E29" s="16" t="n"/>
      <c r="F29" s="16" t="n"/>
    </row>
    <row r="30">
      <c r="B30" s="27" t="inlineStr">
        <is>
          <t>Tipo de assinatura selecionado</t>
        </is>
      </c>
      <c r="C30" s="28" t="str">
        <f>'D̳ashboard'!E7</f>
        <v>Todos</v>
      </c>
    </row>
    <row r="31">
      <c r="B31" s="27" t="inlineStr">
        <is>
          <t>Plano selecionado</t>
        </is>
      </c>
      <c r="C31" s="28" t="str">
        <f>'D̳ashboard'!N7</f>
        <v>Todos</v>
      </c>
    </row>
    <row r="32">
      <c r="B32" s="27" t="inlineStr">
        <is>
          <t>Critério · tipo (interno)</t>
        </is>
      </c>
      <c r="C32" s="28" t="str">
        <f>IF(C30="Todos","*",IF(C30="Mensal","Monthly",IF(C30="Trimestral","Quarterly","Annual")))</f>
        <v>*</v>
      </c>
    </row>
    <row r="33">
      <c r="B33" s="27" t="inlineStr">
        <is>
          <t>Critério · plano (interno)</t>
        </is>
      </c>
      <c r="C33" s="28" t="str">
        <f>IF(C31="Todos","*",C31)</f>
        <v>*</v>
      </c>
    </row>
    <row r="34"/>
    <row r="35">
      <c r="B35" s="15" t="inlineStr">
        <is>
          <t>INDICADORES (respondem aos filtros)</t>
        </is>
      </c>
      <c r="C35" s="16" t="n"/>
      <c r="D35" s="16" t="n"/>
      <c r="E35" s="16" t="n"/>
      <c r="F35" s="16" t="n"/>
    </row>
    <row r="36">
      <c r="B36" s="21" t="inlineStr">
        <is>
          <t>Faturamento total</t>
        </is>
      </c>
      <c r="C36" s="22">
        <f>SUMIFS('B̳ases'!$M$2:$M$1000,'B̳ases'!$G$2:$G$1000,$C$32,'B̳ases'!$C$2:$C$1000,$C$33)</f>
        <v>7633</v>
      </c>
    </row>
    <row r="37">
      <c r="B37" s="21" t="inlineStr">
        <is>
          <t>Assinantes</t>
        </is>
      </c>
      <c r="C37" s="23">
        <f>COUNTIFS('B̳ases'!$G$2:$G$1000,$C$32,'B̳ases'!$C$2:$C$1000,$C$33)</f>
        <v>295</v>
      </c>
    </row>
    <row r="38">
      <c r="B38" s="21" t="inlineStr">
        <is>
          <t>Ticket médio</t>
        </is>
      </c>
      <c r="C38" s="22">
        <f>IFERROR(C36/C37,0)</f>
        <v>25.8745762711864</v>
      </c>
    </row>
    <row r="39">
      <c r="B39" s="21" t="inlineStr">
        <is>
          <t>Cupons concedidos</t>
        </is>
      </c>
      <c r="C39" s="22">
        <f>SUMIFS('B̳ases'!$L$2:$L$1000,'B̳ases'!$G$2:$G$1000,$C$32,'B̳ases'!$C$2:$C$1000,$C$33)</f>
        <v>2122</v>
      </c>
    </row>
    <row r="40">
      <c r="B40" s="21" t="inlineStr">
        <is>
          <t>Vendas EA Play</t>
        </is>
      </c>
      <c r="C40" s="22">
        <f>SUMIFS('B̳ases'!$I$2:$I$1000,'B̳ases'!$G$2:$G$1000,$C$32,'B̳ases'!$C$2:$C$1000,$C$33)</f>
        <v>2940</v>
      </c>
    </row>
    <row r="41">
      <c r="B41" s="21" t="inlineStr">
        <is>
          <t>Vendas Minecraft</t>
        </is>
      </c>
      <c r="C41" s="22">
        <f>SUMIFS('B̳ases'!$K$2:$K$1000,'B̳ases'!$G$2:$G$1000,$C$32,'B̳ases'!$C$2:$C$1000,$C$33)</f>
        <v>3880</v>
      </c>
    </row>
    <row r="42">
      <c r="B42" s="21" t="inlineStr">
        <is>
          <t>Assinantes com auto-renovação</t>
        </is>
      </c>
      <c r="C42" s="23">
        <f>COUNTIFS('B̳ases'!$G$2:$G$1000,$C$32,'B̳ases'!$C$2:$C$1000,$C$33,'B̳ases'!$E$2:$E$1000,"Yes")</f>
        <v>148</v>
      </c>
    </row>
    <row r="43">
      <c r="B43" s="21" t="inlineStr">
        <is>
          <t>Assinantes com EA Play</t>
        </is>
      </c>
      <c r="C43" s="23">
        <f>COUNTIFS('B̳ases'!$G$2:$G$1000,$C$32,'B̳ases'!$C$2:$C$1000,$C$33,'B̳ases'!$H$2:$H$1000,"Yes")</f>
        <v>98</v>
      </c>
    </row>
    <row r="44">
      <c r="B44" s="21" t="inlineStr">
        <is>
          <t>Assinantes com Minecraft</t>
        </is>
      </c>
      <c r="C44" s="23">
        <f>COUNTIFS('B̳ases'!$G$2:$G$1000,$C$32,'B̳ases'!$C$2:$C$1000,$C$33,'B̳ases'!$J$2:$J$1000,"Yes")</f>
        <v>194</v>
      </c>
    </row>
    <row r="45">
      <c r="B45" s="21" t="inlineStr">
        <is>
          <t>Assinantes com cupom</t>
        </is>
      </c>
      <c r="C45" s="23">
        <f>COUNTIFS('B̳ases'!$G$2:$G$1000,$C$32,'B̳ases'!$C$2:$C$1000,$C$33,'B̳ases'!$L$2:$L$1000,"&gt;0")</f>
        <v>244</v>
      </c>
    </row>
    <row r="46">
      <c r="B46" s="21" t="inlineStr">
        <is>
          <t>Faturamento total da base (sem filtros)</t>
        </is>
      </c>
      <c r="C46" s="22">
        <f>SUM('B̳ases'!$M$2:$M$1000)</f>
        <v>7633</v>
      </c>
    </row>
    <row r="47"/>
    <row r="48">
      <c r="B48" s="15" t="inlineStr">
        <is>
          <t>TABELAS DOS GRÁFICOS (respondem aos filtros)</t>
        </is>
      </c>
      <c r="C48" s="16" t="n"/>
      <c r="D48" s="16" t="n"/>
      <c r="E48" s="16" t="n"/>
      <c r="F48" s="16" t="n"/>
    </row>
    <row r="49"/>
    <row r="50">
      <c r="B50" s="19" t="inlineStr">
        <is>
          <t>Plano</t>
        </is>
      </c>
      <c r="C50" s="20" t="inlineStr">
        <is>
          <t>Faturamento</t>
        </is>
      </c>
      <c r="D50" s="20" t="inlineStr">
        <is>
          <t>EA Play</t>
        </is>
      </c>
      <c r="E50" s="20" t="inlineStr">
        <is>
          <t>Minecraft</t>
        </is>
      </c>
    </row>
    <row r="51">
      <c r="B51" s="21" t="inlineStr">
        <is>
          <t>Core</t>
        </is>
      </c>
      <c r="C51" s="29">
        <f>SUMIFS('B̳ases'!$M$2:$M$1000,'B̳ases'!$C$2:$C$1000,"Core",'B̳ases'!$C$2:$C$1000,$C$33,'B̳ases'!$G$2:$G$1000,$C$32)</f>
        <v>444</v>
      </c>
      <c r="D51" s="30">
        <f>SUMIFS('B̳ases'!$I$2:$I$1000,'B̳ases'!$C$2:$C$1000,"Core",'B̳ases'!$C$2:$C$1000,$C$33,'B̳ases'!$G$2:$G$1000,$C$32)</f>
        <v>0</v>
      </c>
      <c r="E51" s="30">
        <f>SUMIFS('B̳ases'!$K$2:$K$1000,'B̳ases'!$C$2:$C$1000,"Core",'B̳ases'!$C$2:$C$1000,$C$33,'B̳ases'!$G$2:$G$1000,$C$32)</f>
        <v>0</v>
      </c>
    </row>
    <row r="52">
      <c r="B52" s="21" t="inlineStr">
        <is>
          <t>Standard</t>
        </is>
      </c>
      <c r="C52" s="29">
        <f>SUMIFS('B̳ases'!$M$2:$M$1000,'B̳ases'!$C$2:$C$1000,"Standard",'B̳ases'!$C$2:$C$1000,$C$33,'B̳ases'!$G$2:$G$1000,$C$32)</f>
        <v>1801</v>
      </c>
      <c r="D52" s="30">
        <f>SUMIFS('B̳ases'!$I$2:$I$1000,'B̳ases'!$C$2:$C$1000,"Standard",'B̳ases'!$C$2:$C$1000,$C$33,'B̳ases'!$G$2:$G$1000,$C$32)</f>
        <v>0</v>
      </c>
      <c r="E52" s="30">
        <f>SUMIFS('B̳ases'!$K$2:$K$1000,'B̳ases'!$C$2:$C$1000,"Standard",'B̳ases'!$C$2:$C$1000,$C$33,'B̳ases'!$G$2:$G$1000,$C$32)</f>
        <v>1920</v>
      </c>
    </row>
    <row r="53">
      <c r="B53" s="21" t="inlineStr">
        <is>
          <t>Ultimate</t>
        </is>
      </c>
      <c r="C53" s="29">
        <f>SUMIFS('B̳ases'!$M$2:$M$1000,'B̳ases'!$C$2:$C$1000,"Ultimate",'B̳ases'!$C$2:$C$1000,$C$33,'B̳ases'!$G$2:$G$1000,$C$32)</f>
        <v>5388</v>
      </c>
      <c r="D53" s="30">
        <f>SUMIFS('B̳ases'!$I$2:$I$1000,'B̳ases'!$C$2:$C$1000,"Ultimate",'B̳ases'!$C$2:$C$1000,$C$33,'B̳ases'!$G$2:$G$1000,$C$32)</f>
        <v>2940</v>
      </c>
      <c r="E53" s="30">
        <f>SUMIFS('B̳ases'!$K$2:$K$1000,'B̳ases'!$C$2:$C$1000,"Ultimate",'B̳ases'!$C$2:$C$1000,$C$33,'B̳ases'!$G$2:$G$1000,$C$32)</f>
        <v>1960</v>
      </c>
    </row>
    <row r="54"/>
    <row r="55"/>
    <row r="56">
      <c r="B56" s="19" t="inlineStr">
        <is>
          <t>Tipo de assinatura</t>
        </is>
      </c>
      <c r="C56" s="20" t="inlineStr">
        <is>
          <t>Faturamento</t>
        </is>
      </c>
      <c r="D56" s="20" t="inlineStr">
        <is>
          <t>Assinantes</t>
        </is>
      </c>
      <c r="E56" s="20" t="inlineStr">
        <is>
          <t>Ticket médio</t>
        </is>
      </c>
    </row>
    <row r="57">
      <c r="B57" s="21" t="inlineStr">
        <is>
          <t>Mensal</t>
        </is>
      </c>
      <c r="C57" s="29">
        <f>SUMIFS('B̳ases'!$M$2:$M$1000,'B̳ases'!$G$2:$G$1000,"Monthly",'B̳ases'!$G$2:$G$1000,$C$32,'B̳ases'!$C$2:$C$1000,$C$33)</f>
        <v>3571</v>
      </c>
      <c r="D57" s="23">
        <f>COUNTIFS('B̳ases'!$G$2:$G$1000,"Monthly",'B̳ases'!$G$2:$G$1000,$C$32,'B̳ases'!$C$2:$C$1000,$C$33)</f>
        <v>139</v>
      </c>
      <c r="E57" s="22">
        <f>IFERROR(C57/D57,0)</f>
        <v>25.6906474820144</v>
      </c>
    </row>
    <row r="58">
      <c r="B58" s="21" t="inlineStr">
        <is>
          <t>Trimestral</t>
        </is>
      </c>
      <c r="C58" s="29">
        <f>SUMIFS('B̳ases'!$M$2:$M$1000,'B̳ases'!$G$2:$G$1000,"Quarterly",'B̳ases'!$G$2:$G$1000,$C$32,'B̳ases'!$C$2:$C$1000,$C$33)</f>
        <v>2308</v>
      </c>
      <c r="D58" s="23">
        <f>COUNTIFS('B̳ases'!$G$2:$G$1000,"Quarterly",'B̳ases'!$G$2:$G$1000,$C$32,'B̳ases'!$C$2:$C$1000,$C$33)</f>
        <v>85</v>
      </c>
      <c r="E58" s="22">
        <f>IFERROR(C58/D58,0)</f>
        <v>27.1529411764706</v>
      </c>
    </row>
    <row r="59">
      <c r="B59" s="21" t="inlineStr">
        <is>
          <t>Anual</t>
        </is>
      </c>
      <c r="C59" s="29">
        <f>SUMIFS('B̳ases'!$M$2:$M$1000,'B̳ases'!$G$2:$G$1000,"Annual",'B̳ases'!$G$2:$G$1000,$C$32,'B̳ases'!$C$2:$C$1000,$C$33)</f>
        <v>1754</v>
      </c>
      <c r="D59" s="23">
        <f>COUNTIFS('B̳ases'!$G$2:$G$1000,"Annual",'B̳ases'!$G$2:$G$1000,$C$32,'B̳ases'!$C$2:$C$1000,$C$33)</f>
        <v>71</v>
      </c>
      <c r="E59" s="22">
        <f>IFERROR(C59/D59,0)</f>
        <v>24.7042253521127</v>
      </c>
    </row>
    <row r="60"/>
    <row r="61"/>
    <row r="62">
      <c r="B62" s="19" t="inlineStr">
        <is>
          <t>Mês (2024)</t>
        </is>
      </c>
      <c r="C62" s="20" t="inlineStr">
        <is>
          <t>Faturamento</t>
        </is>
      </c>
      <c r="D62" s="20" t="inlineStr">
        <is>
          <t>Média móvel 3 meses</t>
        </is>
      </c>
      <c r="E62" s="20" t="inlineStr">
        <is>
          <t>Início do mês</t>
        </is>
      </c>
    </row>
    <row r="63">
      <c r="B63" s="21" t="inlineStr">
        <is>
          <t>Jan</t>
        </is>
      </c>
      <c r="C63" s="29">
        <f>SUMIFS('B̳ases'!$M$2:$M$1000,'B̳ases'!$D$2:$D$1000,"&gt;="&amp;E63,'B̳ases'!$D$2:$D$1000,"&lt;"&amp;EDATE(E63,1),'B̳ases'!$G$2:$G$1000,$C$32,'B̳ases'!$C$2:$C$1000,$C$33)</f>
        <v>65</v>
      </c>
      <c r="D63" s="29">
        <f>AVERAGE(C63:C63)</f>
        <v>65</v>
      </c>
      <c r="E63" s="31" t="n">
        <v>45292</v>
      </c>
    </row>
    <row r="64">
      <c r="B64" s="21" t="inlineStr">
        <is>
          <t>Fev</t>
        </is>
      </c>
      <c r="C64" s="29">
        <f>SUMIFS('B̳ases'!$M$2:$M$1000,'B̳ases'!$D$2:$D$1000,"&gt;="&amp;E64,'B̳ases'!$D$2:$D$1000,"&lt;"&amp;EDATE(E64,1),'B̳ases'!$G$2:$G$1000,$C$32,'B̳ases'!$C$2:$C$1000,$C$33)</f>
        <v>82</v>
      </c>
      <c r="D64" s="29">
        <f>AVERAGE(C63:C64)</f>
        <v>73.5</v>
      </c>
      <c r="E64" s="31" t="n">
        <v>45323</v>
      </c>
    </row>
    <row r="65">
      <c r="B65" s="21" t="inlineStr">
        <is>
          <t>Mar</t>
        </is>
      </c>
      <c r="C65" s="29">
        <f>SUMIFS('B̳ases'!$M$2:$M$1000,'B̳ases'!$D$2:$D$1000,"&gt;="&amp;E65,'B̳ases'!$D$2:$D$1000,"&lt;"&amp;EDATE(E65,1),'B̳ases'!$G$2:$G$1000,$C$32,'B̳ases'!$C$2:$C$1000,$C$33)</f>
        <v>801</v>
      </c>
      <c r="D65" s="29">
        <f>AVERAGE(C63:C65)</f>
        <v>316</v>
      </c>
      <c r="E65" s="31" t="n">
        <v>45352</v>
      </c>
    </row>
    <row r="66">
      <c r="B66" s="21" t="inlineStr">
        <is>
          <t>Abr</t>
        </is>
      </c>
      <c r="C66" s="29">
        <f>SUMIFS('B̳ases'!$M$2:$M$1000,'B̳ases'!$D$2:$D$1000,"&gt;="&amp;E66,'B̳ases'!$D$2:$D$1000,"&lt;"&amp;EDATE(E66,1),'B̳ases'!$G$2:$G$1000,$C$32,'B̳ases'!$C$2:$C$1000,$C$33)</f>
        <v>782</v>
      </c>
      <c r="D66" s="29">
        <f>AVERAGE(C64:C66)</f>
        <v>555</v>
      </c>
      <c r="E66" s="31" t="n">
        <v>45383</v>
      </c>
    </row>
    <row r="67">
      <c r="B67" s="21" t="inlineStr">
        <is>
          <t>Mai</t>
        </is>
      </c>
      <c r="C67" s="29">
        <f>SUMIFS('B̳ases'!$M$2:$M$1000,'B̳ases'!$D$2:$D$1000,"&gt;="&amp;E67,'B̳ases'!$D$2:$D$1000,"&lt;"&amp;EDATE(E67,1),'B̳ases'!$G$2:$G$1000,$C$32,'B̳ases'!$C$2:$C$1000,$C$33)</f>
        <v>777</v>
      </c>
      <c r="D67" s="29">
        <f>AVERAGE(C65:C67)</f>
        <v>786.666666666667</v>
      </c>
      <c r="E67" s="31" t="n">
        <v>45413</v>
      </c>
    </row>
    <row r="68">
      <c r="B68" s="21" t="inlineStr">
        <is>
          <t>Jun</t>
        </is>
      </c>
      <c r="C68" s="29">
        <f>SUMIFS('B̳ases'!$M$2:$M$1000,'B̳ases'!$D$2:$D$1000,"&gt;="&amp;E68,'B̳ases'!$D$2:$D$1000,"&lt;"&amp;EDATE(E68,1),'B̳ases'!$G$2:$G$1000,$C$32,'B̳ases'!$C$2:$C$1000,$C$33)</f>
        <v>770</v>
      </c>
      <c r="D68" s="29">
        <f>AVERAGE(C66:C68)</f>
        <v>776.333333333333</v>
      </c>
      <c r="E68" s="31" t="n">
        <v>45444</v>
      </c>
    </row>
    <row r="69">
      <c r="B69" s="21" t="inlineStr">
        <is>
          <t>Jul</t>
        </is>
      </c>
      <c r="C69" s="29">
        <f>SUMIFS('B̳ases'!$M$2:$M$1000,'B̳ases'!$D$2:$D$1000,"&gt;="&amp;E69,'B̳ases'!$D$2:$D$1000,"&lt;"&amp;EDATE(E69,1),'B̳ases'!$G$2:$G$1000,$C$32,'B̳ases'!$C$2:$C$1000,$C$33)</f>
        <v>784</v>
      </c>
      <c r="D69" s="29">
        <f>AVERAGE(C67:C69)</f>
        <v>777</v>
      </c>
      <c r="E69" s="31" t="n">
        <v>45474</v>
      </c>
    </row>
    <row r="70">
      <c r="B70" s="21" t="inlineStr">
        <is>
          <t>Ago</t>
        </is>
      </c>
      <c r="C70" s="29">
        <f>SUMIFS('B̳ases'!$M$2:$M$1000,'B̳ases'!$D$2:$D$1000,"&gt;="&amp;E70,'B̳ases'!$D$2:$D$1000,"&lt;"&amp;EDATE(E70,1),'B̳ases'!$G$2:$G$1000,$C$32,'B̳ases'!$C$2:$C$1000,$C$33)</f>
        <v>787</v>
      </c>
      <c r="D70" s="29">
        <f>AVERAGE(C68:C70)</f>
        <v>780.333333333333</v>
      </c>
      <c r="E70" s="31" t="n">
        <v>45505</v>
      </c>
    </row>
    <row r="71">
      <c r="B71" s="21" t="inlineStr">
        <is>
          <t>Set</t>
        </is>
      </c>
      <c r="C71" s="29">
        <f>SUMIFS('B̳ases'!$M$2:$M$1000,'B̳ases'!$D$2:$D$1000,"&gt;="&amp;E71,'B̳ases'!$D$2:$D$1000,"&lt;"&amp;EDATE(E71,1),'B̳ases'!$G$2:$G$1000,$C$32,'B̳ases'!$C$2:$C$1000,$C$33)</f>
        <v>780</v>
      </c>
      <c r="D71" s="29">
        <f>AVERAGE(C69:C71)</f>
        <v>783.666666666667</v>
      </c>
      <c r="E71" s="31" t="n">
        <v>45536</v>
      </c>
    </row>
    <row r="72">
      <c r="B72" s="21" t="inlineStr">
        <is>
          <t>Out</t>
        </is>
      </c>
      <c r="C72" s="29">
        <f>SUMIFS('B̳ases'!$M$2:$M$1000,'B̳ases'!$D$2:$D$1000,"&gt;="&amp;E72,'B̳ases'!$D$2:$D$1000,"&lt;"&amp;EDATE(E72,1),'B̳ases'!$G$2:$G$1000,$C$32,'B̳ases'!$C$2:$C$1000,$C$33)</f>
        <v>832</v>
      </c>
      <c r="D72" s="29">
        <f>AVERAGE(C70:C72)</f>
        <v>799.666666666667</v>
      </c>
      <c r="E72" s="31" t="n">
        <v>45566</v>
      </c>
    </row>
    <row r="73">
      <c r="B73" s="21" t="inlineStr">
        <is>
          <t>Nov</t>
        </is>
      </c>
      <c r="C73" s="29">
        <f>SUMIFS('B̳ases'!$M$2:$M$1000,'B̳ases'!$D$2:$D$1000,"&gt;="&amp;E73,'B̳ases'!$D$2:$D$1000,"&lt;"&amp;EDATE(E73,1),'B̳ases'!$G$2:$G$1000,$C$32,'B̳ases'!$C$2:$C$1000,$C$33)</f>
        <v>784</v>
      </c>
      <c r="D73" s="29">
        <f>AVERAGE(C71:C73)</f>
        <v>798.666666666667</v>
      </c>
      <c r="E73" s="31" t="n">
        <v>45597</v>
      </c>
    </row>
    <row r="74">
      <c r="B74" s="21" t="inlineStr">
        <is>
          <t>Dez</t>
        </is>
      </c>
      <c r="C74" s="29">
        <f>SUMIFS('B̳ases'!$M$2:$M$1000,'B̳ases'!$D$2:$D$1000,"&gt;="&amp;E74,'B̳ases'!$D$2:$D$1000,"&lt;"&amp;EDATE(E74,1),'B̳ases'!$G$2:$G$1000,$C$32,'B̳ases'!$C$2:$C$1000,$C$33)</f>
        <v>389</v>
      </c>
      <c r="D74" s="29">
        <f>AVERAGE(C72:C74)</f>
        <v>668.333333333333</v>
      </c>
      <c r="E74" s="31" t="n">
        <v>45627</v>
      </c>
    </row>
    <row r="75"/>
    <row r="76"/>
    <row r="77">
      <c r="B77" s="19" t="inlineStr">
        <is>
          <t>Auto-renovação</t>
        </is>
      </c>
      <c r="C77" s="20" t="inlineStr">
        <is>
          <t>Faturamento</t>
        </is>
      </c>
      <c r="D77" s="20" t="inlineStr">
        <is>
          <t>Assinantes</t>
        </is>
      </c>
    </row>
    <row r="78">
      <c r="B78" s="21" t="inlineStr">
        <is>
          <t>Com auto-renovação</t>
        </is>
      </c>
      <c r="C78" s="22">
        <f>SUMIFS('B̳ases'!$M$2:$M$1000,'B̳ases'!$E$2:$E$1000,"Yes",'B̳ases'!$G$2:$G$1000,$C$32,'B̳ases'!$C$2:$C$1000,$C$33)</f>
        <v>3786</v>
      </c>
      <c r="D78" s="23">
        <f>COUNTIFS('B̳ases'!$E$2:$E$1000,"Yes",'B̳ases'!$G$2:$G$1000,$C$32,'B̳ases'!$C$2:$C$1000,$C$33)</f>
        <v>148</v>
      </c>
    </row>
    <row r="79">
      <c r="B79" s="21" t="inlineStr">
        <is>
          <t>Sem auto-renovação</t>
        </is>
      </c>
      <c r="C79" s="22">
        <f>SUMIFS('B̳ases'!$M$2:$M$1000,'B̳ases'!$E$2:$E$1000,"No",'B̳ases'!$G$2:$G$1000,$C$32,'B̳ases'!$C$2:$C$1000,$C$33)</f>
        <v>3847</v>
      </c>
      <c r="D79" s="23">
        <f>COUNTIFS('B̳ases'!$E$2:$E$1000,"No",'B̳ases'!$G$2:$G$1000,$C$32,'B̳ases'!$C$2:$C$1000,$C$33)</f>
        <v>147</v>
      </c>
    </row>
    <row r="80"/>
    <row r="82">
      <c r="B82" s="19" t="inlineStr">
        <is>
          <t>Plano</t>
        </is>
      </c>
      <c r="C82" s="20" t="inlineStr">
        <is>
          <t>Mensal</t>
        </is>
      </c>
      <c r="D82" s="20" t="inlineStr">
        <is>
          <t>Trimestral</t>
        </is>
      </c>
      <c r="E82" s="20" t="inlineStr">
        <is>
          <t>Anual</t>
        </is>
      </c>
    </row>
    <row r="83">
      <c r="B83" s="21" t="inlineStr">
        <is>
          <t>Core</t>
        </is>
      </c>
      <c r="C83" s="23">
        <f>COUNTIFS('B̳ases'!$C$2:$C$1000,"Core",'B̳ases'!$C$2:$C$1000,$C$33,'B̳ases'!$G$2:$G$1000,"Monthly",'B̳ases'!$G$2:$G$1000,$C$32)</f>
        <v>49</v>
      </c>
      <c r="D83" s="23">
        <f>COUNTIFS('B̳ases'!$C$2:$C$1000,"Core",'B̳ases'!$C$2:$C$1000,$C$33,'B̳ases'!$G$2:$G$1000,"Quarterly",'B̳ases'!$G$2:$G$1000,$C$32)</f>
        <v>28</v>
      </c>
      <c r="E83" s="23">
        <f>COUNTIFS('B̳ases'!$C$2:$C$1000,"Core",'B̳ases'!$C$2:$C$1000,$C$33,'B̳ases'!$G$2:$G$1000,"Annual",'B̳ases'!$G$2:$G$1000,$C$32)</f>
        <v>24</v>
      </c>
    </row>
    <row r="84">
      <c r="B84" s="21" t="inlineStr">
        <is>
          <t>Standard</t>
        </is>
      </c>
      <c r="C84" s="23">
        <f>COUNTIFS('B̳ases'!$C$2:$C$1000,"Standard",'B̳ases'!$C$2:$C$1000,$C$33,'B̳ases'!$G$2:$G$1000,"Monthly",'B̳ases'!$G$2:$G$1000,$C$32)</f>
        <v>45</v>
      </c>
      <c r="D84" s="23">
        <f>COUNTIFS('B̳ases'!$C$2:$C$1000,"Standard",'B̳ases'!$C$2:$C$1000,$C$33,'B̳ases'!$G$2:$G$1000,"Quarterly",'B̳ases'!$G$2:$G$1000,$C$32)</f>
        <v>24</v>
      </c>
      <c r="E84" s="23">
        <f>COUNTIFS('B̳ases'!$C$2:$C$1000,"Standard",'B̳ases'!$C$2:$C$1000,$C$33,'B̳ases'!$G$2:$G$1000,"Annual",'B̳ases'!$G$2:$G$1000,$C$32)</f>
        <v>27</v>
      </c>
    </row>
    <row r="85">
      <c r="B85" s="21" t="inlineStr">
        <is>
          <t>Ultimate</t>
        </is>
      </c>
      <c r="C85" s="23">
        <f>COUNTIFS('B̳ases'!$C$2:$C$1000,"Ultimate",'B̳ases'!$C$2:$C$1000,$C$33,'B̳ases'!$G$2:$G$1000,"Monthly",'B̳ases'!$G$2:$G$1000,$C$32)</f>
        <v>45</v>
      </c>
      <c r="D85" s="23">
        <f>COUNTIFS('B̳ases'!$C$2:$C$1000,"Ultimate",'B̳ases'!$C$2:$C$1000,$C$33,'B̳ases'!$G$2:$G$1000,"Quarterly",'B̳ases'!$G$2:$G$1000,$C$32)</f>
        <v>33</v>
      </c>
      <c r="E85" s="23">
        <f>COUNTIFS('B̳ases'!$C$2:$C$1000,"Ultimate",'B̳ases'!$C$2:$C$1000,$C$33,'B̳ases'!$G$2:$G$1000,"Annual",'B̳ases'!$G$2:$G$1000,$C$32)</f>
        <v>20</v>
      </c>
    </row>
    <row r="88">
      <c r="B88" s="15" t="inlineStr">
        <is>
          <t>DESTAQUES (textos do dashboard)</t>
        </is>
      </c>
      <c r="C88" s="16" t="n"/>
      <c r="D88" s="16" t="n"/>
      <c r="E88" s="16" t="n"/>
      <c r="F88" s="16" t="n"/>
    </row>
    <row r="89">
      <c r="B89" s="27" t="inlineStr">
        <is>
          <t>Plano líder</t>
        </is>
      </c>
      <c r="C89" s="32" t="str">
        <f>IF(SUM(C51:C53)=0,"Sem vendas para os filtros escolhidos.",INDEX(B51:B53,MATCH(MAX(C51:C53),C51:C53,0))&amp;" lidera com "&amp;ROUND(MAX(C51:C53)/SUM(C51:C53)*100,0)&amp;"% do faturamento.")</f>
        <v>Ultimate lidera com 71% do faturamento.</v>
      </c>
    </row>
    <row r="90">
      <c r="B90" s="27" t="inlineStr">
        <is>
          <t>Tipo líder</t>
        </is>
      </c>
      <c r="C90" s="32" t="str">
        <f>IF(SUM(C57:C59)=0,"Sem vendas para os filtros escolhidos.","O tipo "&amp;INDEX(B57:B59,MATCH(MAX(C57:C59),C57:C59,0))&amp;" concentra "&amp;ROUND(MAX(C57:C59)/SUM(C57:C59)*100,0)&amp;"% da receita.")</f>
        <v>O tipo Mensal concentra 47% da receita.</v>
      </c>
    </row>
    <row r="91">
      <c r="B91" s="27" t="inlineStr">
        <is>
          <t>Mês de pico</t>
        </is>
      </c>
      <c r="C91" s="32" t="str">
        <f>IF(SUM(C63:C74)=0,"Sem vendas para os filtros escolhidos.","Mês de pico: "&amp;INDEX(B63:B74,MATCH(MAX(C63:C74),C63:C74,0))&amp;", com R$ "&amp;ROUND(MAX(C63:C74),0)&amp;" em novas assinaturas.")</f>
        <v>Mês de pico: Out, com R$ 832 em novas assinaturas.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K90"/>
  <sheetViews>
    <sheetView showGridLines="0" tabSelected="1" zoomScale="90" zoomScaleNormal="80" workbookViewId="0">
      <selection activeCell="A3" sqref="A3:A4"/>
    </sheetView>
  </sheetViews>
  <sheetFormatPr baseColWidth="8" defaultRowHeight="15"/>
  <cols>
    <col width="2.5" customWidth="1" min="1" max="1"/>
    <col width="6.6" customWidth="1" min="2" max="2"/>
    <col width="6.6" customWidth="1" min="3" max="3"/>
    <col width="1.6" customWidth="1" min="4" max="4"/>
    <col width="6.6" customWidth="1" min="5" max="5"/>
    <col width="6.6" customWidth="1" min="6" max="6"/>
    <col width="1.6" customWidth="1" min="7" max="7"/>
    <col width="6.6" customWidth="1" min="8" max="8"/>
    <col width="6.6" customWidth="1" min="9" max="9"/>
    <col width="1.6" customWidth="1" min="10" max="10"/>
    <col width="6.6" customWidth="1" min="11" max="11"/>
    <col width="6.6" customWidth="1" min="12" max="12"/>
    <col width="1.6" customWidth="1" min="13" max="13"/>
    <col width="6.6" customWidth="1" min="14" max="14"/>
    <col width="6.6" customWidth="1" min="15" max="15"/>
    <col width="1.6" customWidth="1" min="16" max="16"/>
    <col width="6.6" customWidth="1" min="17" max="17"/>
    <col width="6.6" customWidth="1" min="18" max="18"/>
    <col width="1.6" customWidth="1" min="19" max="19"/>
    <col width="6.6" customWidth="1" min="20" max="20"/>
    <col width="6.6" customWidth="1" min="21" max="21"/>
    <col width="1.6" customWidth="1" min="22" max="22"/>
    <col width="6.6" customWidth="1" min="23" max="23"/>
    <col width="6.6" customWidth="1" min="24" max="24"/>
    <col width="1.6" customWidth="1" min="25" max="25"/>
    <col width="6.6" customWidth="1" min="26" max="26"/>
    <col width="6.6" customWidth="1" min="27" max="27"/>
    <col width="1.6" customWidth="1" min="28" max="28"/>
    <col width="6.6" customWidth="1" min="29" max="29"/>
    <col width="6.6" customWidth="1" min="30" max="30"/>
    <col width="1.6" customWidth="1" min="31" max="31"/>
    <col width="6.6" customWidth="1" min="32" max="32"/>
    <col width="6.6" customWidth="1" min="33" max="33"/>
    <col width="1.6" customWidth="1" min="34" max="34"/>
    <col width="6.6" customWidth="1" min="35" max="35"/>
    <col width="6.6" customWidth="1" min="36" max="36"/>
    <col width="2.5" customWidth="1" min="37" max="37"/>
  </cols>
  <sheetData>
    <row r="1" ht="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  <c r="AF1" s="33" t="n"/>
      <c r="AG1" s="33" t="n"/>
      <c r="AH1" s="33" t="n"/>
      <c r="AI1" s="33" t="n"/>
      <c r="AJ1" s="33" t="n"/>
      <c r="AK1" s="33" t="n"/>
    </row>
    <row r="2" ht="14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3" t="n"/>
    </row>
    <row r="3" ht="30" customHeight="1">
      <c r="A3" s="33" t="n"/>
      <c r="B3" s="34" t="n"/>
      <c r="C3" s="34" t="n"/>
      <c r="D3" s="34" t="n"/>
      <c r="E3" s="34" t="n"/>
      <c r="F3" s="35" t="inlineStr">
        <is>
          <t>XBOX GAME PASS  ·  PAINEL DE VENDAS DE ASSINATURAS</t>
        </is>
      </c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3" t="n"/>
    </row>
    <row r="4" ht="22" customHeight="1">
      <c r="A4" s="33" t="n"/>
      <c r="B4" s="34" t="n"/>
      <c r="C4" s="34" t="n"/>
      <c r="D4" s="34" t="n"/>
      <c r="E4" s="34" t="n"/>
      <c r="F4" s="36" t="inlineStr">
        <is>
          <t>Receita, adesão e comportamento dos assinantes em 2024 · use os filtros abaixo para explorar</t>
        </is>
      </c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3" t="n"/>
    </row>
    <row r="5" ht="14" customHeight="1">
      <c r="A5" s="33" t="n"/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3" t="n"/>
    </row>
    <row r="6" ht="10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</row>
    <row r="7" ht="28" customHeight="1">
      <c r="A7" s="33" t="n"/>
      <c r="B7" s="38" t="inlineStr">
        <is>
          <t>TIPO DE ASSINATURA</t>
        </is>
      </c>
      <c r="C7" s="16" t="n"/>
      <c r="D7" s="16" t="n"/>
      <c r="E7" s="39" t="inlineStr">
        <is>
          <t>Todos</t>
        </is>
      </c>
      <c r="F7" s="40" t="n"/>
      <c r="G7" s="40" t="n"/>
      <c r="H7" s="40" t="n"/>
      <c r="I7" s="40" t="n"/>
      <c r="J7" s="33" t="n"/>
      <c r="K7" s="38" t="inlineStr">
        <is>
          <t>PLANO</t>
        </is>
      </c>
      <c r="L7" s="16" t="n"/>
      <c r="M7" s="16" t="n"/>
      <c r="N7" s="39" t="inlineStr">
        <is>
          <t>Todos</t>
        </is>
      </c>
      <c r="O7" s="40" t="n"/>
      <c r="P7" s="40" t="n"/>
      <c r="Q7" s="40" t="n"/>
      <c r="R7" s="40" t="n"/>
      <c r="S7" s="33" t="n"/>
      <c r="T7" s="41" t="inlineStr">
        <is>
          <t>▸ Clique nas caixas brancas e escolha uma opção: todos os indicadores e gráficos se atualizam.</t>
        </is>
      </c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</row>
    <row r="8" ht="10" customHeight="1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</row>
    <row r="9" ht="22" customHeight="1">
      <c r="A9" s="33" t="n"/>
      <c r="B9" s="42" t="inlineStr">
        <is>
          <t>FATURAMENTO TOTAL</t>
        </is>
      </c>
      <c r="C9" s="43" t="n"/>
      <c r="D9" s="43" t="n"/>
      <c r="E9" s="43" t="n"/>
      <c r="F9" s="44" t="n"/>
      <c r="G9" s="33" t="n"/>
      <c r="H9" s="42" t="inlineStr">
        <is>
          <t>ASSINANTES</t>
        </is>
      </c>
      <c r="I9" s="43" t="n"/>
      <c r="J9" s="43" t="n"/>
      <c r="K9" s="43" t="n"/>
      <c r="L9" s="44" t="n"/>
      <c r="M9" s="33" t="n"/>
      <c r="N9" s="42" t="inlineStr">
        <is>
          <t>TICKET MÉDIO</t>
        </is>
      </c>
      <c r="O9" s="43" t="n"/>
      <c r="P9" s="43" t="n"/>
      <c r="Q9" s="43" t="n"/>
      <c r="R9" s="44" t="n"/>
      <c r="S9" s="33" t="n"/>
      <c r="T9" s="42" t="inlineStr">
        <is>
          <t>CUPONS CONCEDIDOS</t>
        </is>
      </c>
      <c r="U9" s="43" t="n"/>
      <c r="V9" s="43" t="n"/>
      <c r="W9" s="43" t="n"/>
      <c r="X9" s="44" t="n"/>
      <c r="Y9" s="33" t="n"/>
      <c r="Z9" s="42" t="inlineStr">
        <is>
          <t>EA PLAY SEASON PASS</t>
        </is>
      </c>
      <c r="AA9" s="43" t="n"/>
      <c r="AB9" s="43" t="n"/>
      <c r="AC9" s="43" t="n"/>
      <c r="AD9" s="44" t="n"/>
      <c r="AE9" s="33" t="n"/>
      <c r="AF9" s="42" t="inlineStr">
        <is>
          <t>MINECRAFT SEASON PASS</t>
        </is>
      </c>
      <c r="AG9" s="43" t="n"/>
      <c r="AH9" s="43" t="n"/>
      <c r="AI9" s="43" t="n"/>
      <c r="AJ9" s="44" t="n"/>
      <c r="AK9" s="33" t="n"/>
    </row>
    <row r="10" ht="46" customHeight="1">
      <c r="A10" s="33" t="n"/>
      <c r="B10" s="45">
        <f>'C̳álculos'!C36</f>
        <v>7633</v>
      </c>
      <c r="C10" s="46" t="n"/>
      <c r="D10" s="46" t="n"/>
      <c r="E10" s="46" t="n"/>
      <c r="F10" s="47" t="n"/>
      <c r="G10" s="33" t="n"/>
      <c r="H10" s="48">
        <f>'C̳álculos'!C37</f>
        <v>295</v>
      </c>
      <c r="I10" s="46" t="n"/>
      <c r="J10" s="46" t="n"/>
      <c r="K10" s="46" t="n"/>
      <c r="L10" s="47" t="n"/>
      <c r="M10" s="33" t="n"/>
      <c r="N10" s="45">
        <f>'C̳álculos'!C38</f>
        <v>25.8745762711864</v>
      </c>
      <c r="O10" s="46" t="n"/>
      <c r="P10" s="46" t="n"/>
      <c r="Q10" s="46" t="n"/>
      <c r="R10" s="47" t="n"/>
      <c r="S10" s="33" t="n"/>
      <c r="T10" s="45">
        <f>'C̳álculos'!C39</f>
        <v>2122</v>
      </c>
      <c r="U10" s="46" t="n"/>
      <c r="V10" s="46" t="n"/>
      <c r="W10" s="46" t="n"/>
      <c r="X10" s="47" t="n"/>
      <c r="Y10" s="33" t="n"/>
      <c r="Z10" s="49" t="n"/>
      <c r="AA10" s="50">
        <f>'C̳álculos'!C40</f>
        <v>2940</v>
      </c>
      <c r="AB10" s="46" t="n"/>
      <c r="AC10" s="46" t="n"/>
      <c r="AD10" s="47" t="n"/>
      <c r="AE10" s="33" t="n"/>
      <c r="AF10" s="49" t="n"/>
      <c r="AG10" s="50">
        <f>'C̳álculos'!C41</f>
        <v>3880</v>
      </c>
      <c r="AH10" s="46" t="n"/>
      <c r="AI10" s="46" t="n"/>
      <c r="AJ10" s="47" t="n"/>
      <c r="AK10" s="33" t="n"/>
    </row>
    <row r="11" ht="22" customHeight="1">
      <c r="A11" s="33" t="n"/>
      <c r="B11" s="51" t="str">
        <f>"Valor líquido de cupons · "&amp;ROUND('C̳álculos'!C36/'C̳álculos'!C46*100,1)&amp;"% da base"</f>
        <v>Valor líquido de cupons · 100% da base</v>
      </c>
      <c r="C11" s="52" t="n"/>
      <c r="D11" s="52" t="n"/>
      <c r="E11" s="52" t="n"/>
      <c r="F11" s="53" t="n"/>
      <c r="G11" s="33" t="n"/>
      <c r="H11" s="51" t="str">
        <f>"Com auto-renovação: "&amp;ROUND(IFERROR('C̳álculos'!C42/'C̳álculos'!C37,0)*100,0)&amp;"%"</f>
        <v>Com auto-renovação: 50%</v>
      </c>
      <c r="I11" s="52" t="n"/>
      <c r="J11" s="52" t="n"/>
      <c r="K11" s="52" t="n"/>
      <c r="L11" s="53" t="n"/>
      <c r="M11" s="33" t="n"/>
      <c r="N11" s="51" t="str">
        <f>"Receita por assinante"</f>
        <v>Receita por assinante</v>
      </c>
      <c r="O11" s="52" t="n"/>
      <c r="P11" s="52" t="n"/>
      <c r="Q11" s="52" t="n"/>
      <c r="R11" s="53" t="n"/>
      <c r="S11" s="33" t="n"/>
      <c r="T11" s="51" t="str">
        <f>ROUND(IFERROR('C̳álculos'!C45/'C̳álculos'!C37,0)*100,0)&amp;"% dos assinantes usaram cupom"</f>
        <v>83% dos assinantes usaram cupom</v>
      </c>
      <c r="U11" s="52" t="n"/>
      <c r="V11" s="52" t="n"/>
      <c r="W11" s="52" t="n"/>
      <c r="X11" s="53" t="n"/>
      <c r="Y11" s="33" t="n"/>
      <c r="Z11" s="51" t="str">
        <f>'C̳álculos'!C43&amp;" assinantes · adesão de "&amp;ROUND(IFERROR('C̳álculos'!C43/'C̳álculos'!C37,0)*100,0)&amp;"%"</f>
        <v>98 assinantes · adesão de 33%</v>
      </c>
      <c r="AA11" s="52" t="n"/>
      <c r="AB11" s="52" t="n"/>
      <c r="AC11" s="52" t="n"/>
      <c r="AD11" s="53" t="n"/>
      <c r="AE11" s="33" t="n"/>
      <c r="AF11" s="51" t="str">
        <f>'C̳álculos'!C44&amp;" assinantes · adesão de "&amp;ROUND(IFERROR('C̳álculos'!C44/'C̳álculos'!C37,0)*100,0)&amp;"%"</f>
        <v>194 assinantes · adesão de 66%</v>
      </c>
      <c r="AG11" s="52" t="n"/>
      <c r="AH11" s="52" t="n"/>
      <c r="AI11" s="52" t="n"/>
      <c r="AJ11" s="53" t="n"/>
      <c r="AK11" s="33" t="n"/>
    </row>
    <row r="12" ht="10" customHeight="1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</row>
    <row r="13" ht="20" customHeight="1">
      <c r="A13" s="33" t="n"/>
      <c r="B13" s="54" t="inlineStr">
        <is>
          <t>DESTAQUES · conforme os filtros selecionados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3" t="n"/>
    </row>
    <row r="14" ht="34" customHeight="1">
      <c r="A14" s="33" t="n"/>
      <c r="B14" s="55" t="str">
        <f>'C̳álculos'!C89</f>
        <v>Ultimate lidera com 71% do faturamento.</v>
      </c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7" t="n"/>
      <c r="M14" s="33" t="n"/>
      <c r="N14" s="55" t="str">
        <f>'C̳álculos'!C90</f>
        <v>O tipo Mensal concentra 47% da receita.</v>
      </c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7" t="n"/>
      <c r="Y14" s="33" t="n"/>
      <c r="Z14" s="55" t="str">
        <f>'C̳álculos'!C91</f>
        <v>Mês de pico: Out, com R$ 832 em novas assinaturas.</v>
      </c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7" t="n"/>
      <c r="AK14" s="33" t="n"/>
    </row>
    <row r="15" ht="10" customHeight="1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</row>
    <row r="16" ht="22" customHeight="1">
      <c r="A16" s="33" t="n"/>
      <c r="B16" s="42" t="inlineStr">
        <is>
          <t>FATURAMENTO POR PLANO</t>
        </is>
      </c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4" t="n"/>
      <c r="S16" s="33" t="n"/>
      <c r="T16" s="42" t="inlineStr">
        <is>
          <t>FATURAMENTO POR TIPO DE ASSINATURA</t>
        </is>
      </c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4" t="n"/>
      <c r="AK16" s="33" t="n"/>
    </row>
    <row r="17" ht="20" customHeight="1">
      <c r="A17" s="33" t="n"/>
      <c r="B17" s="49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7" t="n"/>
      <c r="S17" s="33" t="n"/>
      <c r="T17" s="49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7" t="n"/>
      <c r="AK17" s="33" t="n"/>
    </row>
    <row r="18" ht="20" customHeight="1">
      <c r="A18" s="33" t="n"/>
      <c r="B18" s="49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7" t="n"/>
      <c r="S18" s="33" t="n"/>
      <c r="T18" s="49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7" t="n"/>
      <c r="AK18" s="33" t="n"/>
    </row>
    <row r="19" ht="20" customHeight="1">
      <c r="A19" s="33" t="n"/>
      <c r="B19" s="49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7" t="n"/>
      <c r="S19" s="33" t="n"/>
      <c r="T19" s="49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7" t="n"/>
      <c r="AK19" s="33" t="n"/>
    </row>
    <row r="20" ht="20" customHeight="1">
      <c r="A20" s="33" t="n"/>
      <c r="B20" s="49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7" t="n"/>
      <c r="S20" s="33" t="n"/>
      <c r="T20" s="49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7" t="n"/>
      <c r="AK20" s="33" t="n"/>
    </row>
    <row r="21" ht="20" customHeight="1">
      <c r="A21" s="33" t="n"/>
      <c r="B21" s="49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7" t="n"/>
      <c r="S21" s="33" t="n"/>
      <c r="T21" s="49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7" t="n"/>
      <c r="AK21" s="33" t="n"/>
    </row>
    <row r="22" ht="20" customHeight="1">
      <c r="A22" s="33" t="n"/>
      <c r="B22" s="49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7" t="n"/>
      <c r="S22" s="33" t="n"/>
      <c r="T22" s="49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6" t="n"/>
      <c r="AI22" s="46" t="n"/>
      <c r="AJ22" s="47" t="n"/>
      <c r="AK22" s="33" t="n"/>
    </row>
    <row r="23" ht="20" customHeight="1">
      <c r="A23" s="33" t="n"/>
      <c r="B23" s="49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7" t="n"/>
      <c r="S23" s="33" t="n"/>
      <c r="T23" s="49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7" t="n"/>
      <c r="AK23" s="33" t="n"/>
    </row>
    <row r="24" ht="20" customHeight="1">
      <c r="A24" s="33" t="n"/>
      <c r="B24" s="49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7" t="n"/>
      <c r="S24" s="33" t="n"/>
      <c r="T24" s="49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7" t="n"/>
      <c r="AK24" s="33" t="n"/>
    </row>
    <row r="25" ht="20" customHeight="1">
      <c r="A25" s="33" t="n"/>
      <c r="B25" s="49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7" t="n"/>
      <c r="S25" s="33" t="n"/>
      <c r="T25" s="49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6" t="n"/>
      <c r="AI25" s="46" t="n"/>
      <c r="AJ25" s="47" t="n"/>
      <c r="AK25" s="33" t="n"/>
    </row>
    <row r="26" ht="20" customHeight="1">
      <c r="A26" s="33" t="n"/>
      <c r="B26" s="49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7" t="n"/>
      <c r="S26" s="33" t="n"/>
      <c r="T26" s="49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7" t="n"/>
      <c r="AK26" s="33" t="n"/>
    </row>
    <row r="27" ht="20" customHeight="1">
      <c r="A27" s="33" t="n"/>
      <c r="B27" s="49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7" t="n"/>
      <c r="S27" s="33" t="n"/>
      <c r="T27" s="49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7" t="n"/>
      <c r="AK27" s="33" t="n"/>
    </row>
    <row r="28" ht="20" customHeight="1">
      <c r="A28" s="33" t="n"/>
      <c r="B28" s="49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7" t="n"/>
      <c r="S28" s="33" t="n"/>
      <c r="T28" s="49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6" t="n"/>
      <c r="AI28" s="46" t="n"/>
      <c r="AJ28" s="47" t="n"/>
      <c r="AK28" s="33" t="n"/>
    </row>
    <row r="29" ht="20" customHeight="1">
      <c r="A29" s="33" t="n"/>
      <c r="B29" s="49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7" t="n"/>
      <c r="S29" s="33" t="n"/>
      <c r="T29" s="49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7" t="n"/>
      <c r="AK29" s="33" t="n"/>
    </row>
    <row r="30" ht="20" customHeight="1">
      <c r="A30" s="33" t="n"/>
      <c r="B30" s="49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7" t="n"/>
      <c r="S30" s="33" t="n"/>
      <c r="T30" s="49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7" t="n"/>
      <c r="AK30" s="33" t="n"/>
    </row>
    <row r="31" ht="20" customHeight="1">
      <c r="A31" s="33" t="n"/>
      <c r="B31" s="49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7" t="n"/>
      <c r="S31" s="33" t="n"/>
      <c r="T31" s="49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7" t="n"/>
      <c r="AK31" s="33" t="n"/>
    </row>
    <row r="32" ht="20" customHeight="1">
      <c r="A32" s="33" t="n"/>
      <c r="B32" s="58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3" t="n"/>
      <c r="S32" s="33" t="n"/>
      <c r="T32" s="58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3" t="n"/>
      <c r="AK32" s="33" t="n"/>
    </row>
    <row r="33" ht="20" customHeight="1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</row>
    <row r="34" ht="22" customHeight="1">
      <c r="A34" s="33" t="n"/>
      <c r="B34" s="42" t="inlineStr">
        <is>
          <t>EVOLUÇÃO MENSAL DO FATURAMENTO · NOVAS ASSINATURAS EM 2024</t>
        </is>
      </c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4" t="n"/>
      <c r="Y34" s="33" t="n"/>
      <c r="Z34" s="42" t="inlineStr">
        <is>
          <t>AUTO-RENOVAÇÃO · % DO FATURAMENTO</t>
        </is>
      </c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4" t="n"/>
      <c r="AK34" s="33" t="n"/>
    </row>
    <row r="35" ht="20" customHeight="1">
      <c r="A35" s="33" t="n"/>
      <c r="B35" s="49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7" t="n"/>
      <c r="Y35" s="33" t="n"/>
      <c r="Z35" s="49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7" t="n"/>
      <c r="AK35" s="33" t="n"/>
    </row>
    <row r="36" ht="20" customHeight="1">
      <c r="A36" s="33" t="n"/>
      <c r="B36" s="49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7" t="n"/>
      <c r="Y36" s="33" t="n"/>
      <c r="Z36" s="49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7" t="n"/>
      <c r="AK36" s="33" t="n"/>
    </row>
    <row r="37" ht="20" customHeight="1">
      <c r="A37" s="33" t="n"/>
      <c r="B37" s="49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7" t="n"/>
      <c r="Y37" s="33" t="n"/>
      <c r="Z37" s="49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7" t="n"/>
      <c r="AK37" s="33" t="n"/>
    </row>
    <row r="38" ht="20" customHeight="1">
      <c r="A38" s="33" t="n"/>
      <c r="B38" s="49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7" t="n"/>
      <c r="Y38" s="33" t="n"/>
      <c r="Z38" s="49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7" t="n"/>
      <c r="AK38" s="33" t="n"/>
    </row>
    <row r="39" ht="20" customHeight="1">
      <c r="A39" s="33" t="n"/>
      <c r="B39" s="49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7" t="n"/>
      <c r="Y39" s="33" t="n"/>
      <c r="Z39" s="49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  <c r="AJ39" s="47" t="n"/>
      <c r="AK39" s="33" t="n"/>
    </row>
    <row r="40" ht="20" customHeight="1">
      <c r="A40" s="33" t="n"/>
      <c r="B40" s="49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7" t="n"/>
      <c r="Y40" s="33" t="n"/>
      <c r="Z40" s="49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7" t="n"/>
      <c r="AK40" s="33" t="n"/>
    </row>
    <row r="41" ht="20" customHeight="1">
      <c r="A41" s="33" t="n"/>
      <c r="B41" s="49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7" t="n"/>
      <c r="Y41" s="33" t="n"/>
      <c r="Z41" s="49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7" t="n"/>
      <c r="AK41" s="33" t="n"/>
    </row>
    <row r="42" ht="20" customHeight="1">
      <c r="A42" s="33" t="n"/>
      <c r="B42" s="49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7" t="n"/>
      <c r="Y42" s="33" t="n"/>
      <c r="Z42" s="49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7" t="n"/>
      <c r="AK42" s="33" t="n"/>
    </row>
    <row r="43" ht="20" customHeight="1">
      <c r="A43" s="33" t="n"/>
      <c r="B43" s="49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7" t="n"/>
      <c r="Y43" s="33" t="n"/>
      <c r="Z43" s="49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7" t="n"/>
      <c r="AK43" s="33" t="n"/>
    </row>
    <row r="44" ht="20" customHeight="1">
      <c r="A44" s="33" t="n"/>
      <c r="B44" s="49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7" t="n"/>
      <c r="Y44" s="33" t="n"/>
      <c r="Z44" s="49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7" t="n"/>
      <c r="AK44" s="33" t="n"/>
    </row>
    <row r="45" ht="20" customHeight="1">
      <c r="A45" s="33" t="n"/>
      <c r="B45" s="49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7" t="n"/>
      <c r="Y45" s="33" t="n"/>
      <c r="Z45" s="49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7" t="n"/>
      <c r="AK45" s="33" t="n"/>
    </row>
    <row r="46" ht="20" customHeight="1">
      <c r="A46" s="33" t="n"/>
      <c r="B46" s="49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7" t="n"/>
      <c r="Y46" s="33" t="n"/>
      <c r="Z46" s="49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7" t="n"/>
      <c r="AK46" s="33" t="n"/>
    </row>
    <row r="47" ht="20" customHeight="1">
      <c r="A47" s="33" t="n"/>
      <c r="B47" s="49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7" t="n"/>
      <c r="Y47" s="33" t="n"/>
      <c r="Z47" s="49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7" t="n"/>
      <c r="AK47" s="33" t="n"/>
    </row>
    <row r="48" ht="20" customHeight="1">
      <c r="A48" s="33" t="n"/>
      <c r="B48" s="49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7" t="n"/>
      <c r="Y48" s="33" t="n"/>
      <c r="Z48" s="49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7" t="n"/>
      <c r="AK48" s="33" t="n"/>
    </row>
    <row r="49" ht="20" customHeight="1">
      <c r="A49" s="33" t="n"/>
      <c r="B49" s="49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7" t="n"/>
      <c r="Y49" s="33" t="n"/>
      <c r="Z49" s="49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7" t="n"/>
      <c r="AK49" s="33" t="n"/>
    </row>
    <row r="50" ht="20" customHeight="1">
      <c r="A50" s="33" t="n"/>
      <c r="B50" s="58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3" t="n"/>
      <c r="Y50" s="33" t="n"/>
      <c r="Z50" s="58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3" t="n"/>
      <c r="AK50" s="33" t="n"/>
    </row>
    <row r="51" ht="20" customHeight="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</row>
    <row r="52" ht="22" customHeight="1">
      <c r="A52" s="33" t="n"/>
      <c r="B52" s="42" t="inlineStr">
        <is>
          <t>ADICIONAIS POR PLANO · EA PLAY × MINECRAFT</t>
        </is>
      </c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4" t="n"/>
      <c r="S52" s="33" t="n"/>
      <c r="T52" s="42" t="inlineStr">
        <is>
          <t>ASSINANTES POR PLANO E TIPO DE ASSINATURA</t>
        </is>
      </c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4" t="n"/>
      <c r="AK52" s="33" t="n"/>
    </row>
    <row r="53" ht="20" customHeight="1">
      <c r="A53" s="33" t="n"/>
      <c r="B53" s="49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7" t="n"/>
      <c r="S53" s="33" t="n"/>
      <c r="T53" s="49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7" t="n"/>
      <c r="AK53" s="33" t="n"/>
    </row>
    <row r="54" ht="20" customHeight="1">
      <c r="A54" s="33" t="n"/>
      <c r="B54" s="49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7" t="n"/>
      <c r="S54" s="33" t="n"/>
      <c r="T54" s="49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7" t="n"/>
      <c r="AK54" s="33" t="n"/>
    </row>
    <row r="55" ht="20" customHeight="1">
      <c r="A55" s="33" t="n"/>
      <c r="B55" s="49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7" t="n"/>
      <c r="S55" s="33" t="n"/>
      <c r="T55" s="49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7" t="n"/>
      <c r="AK55" s="33" t="n"/>
    </row>
    <row r="56" ht="20" customHeight="1">
      <c r="A56" s="33" t="n"/>
      <c r="B56" s="49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7" t="n"/>
      <c r="S56" s="33" t="n"/>
      <c r="T56" s="49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7" t="n"/>
      <c r="AK56" s="33" t="n"/>
    </row>
    <row r="57" ht="20" customHeight="1">
      <c r="A57" s="33" t="n"/>
      <c r="B57" s="49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7" t="n"/>
      <c r="S57" s="33" t="n"/>
      <c r="T57" s="49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7" t="n"/>
      <c r="AK57" s="33" t="n"/>
    </row>
    <row r="58" ht="20" customHeight="1">
      <c r="A58" s="33" t="n"/>
      <c r="B58" s="49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7" t="n"/>
      <c r="S58" s="33" t="n"/>
      <c r="T58" s="49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7" t="n"/>
      <c r="AK58" s="33" t="n"/>
    </row>
    <row r="59" ht="20" customHeight="1">
      <c r="A59" s="33" t="n"/>
      <c r="B59" s="49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7" t="n"/>
      <c r="S59" s="33" t="n"/>
      <c r="T59" s="49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7" t="n"/>
      <c r="AK59" s="33" t="n"/>
    </row>
    <row r="60" ht="20" customHeight="1">
      <c r="A60" s="33" t="n"/>
      <c r="B60" s="49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7" t="n"/>
      <c r="S60" s="33" t="n"/>
      <c r="T60" s="49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7" t="n"/>
      <c r="AK60" s="33" t="n"/>
    </row>
    <row r="61" ht="20" customHeight="1">
      <c r="A61" s="33" t="n"/>
      <c r="B61" s="49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7" t="n"/>
      <c r="S61" s="33" t="n"/>
      <c r="T61" s="49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7" t="n"/>
      <c r="AK61" s="33" t="n"/>
    </row>
    <row r="62" ht="20" customHeight="1">
      <c r="A62" s="33" t="n"/>
      <c r="B62" s="49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7" t="n"/>
      <c r="S62" s="33" t="n"/>
      <c r="T62" s="49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7" t="n"/>
      <c r="AK62" s="33" t="n"/>
    </row>
    <row r="63" ht="20" customHeight="1">
      <c r="A63" s="33" t="n"/>
      <c r="B63" s="49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7" t="n"/>
      <c r="S63" s="33" t="n"/>
      <c r="T63" s="49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7" t="n"/>
      <c r="AK63" s="33" t="n"/>
    </row>
    <row r="64" ht="20" customHeight="1">
      <c r="A64" s="33" t="n"/>
      <c r="B64" s="49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7" t="n"/>
      <c r="S64" s="33" t="n"/>
      <c r="T64" s="49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7" t="n"/>
      <c r="AK64" s="33" t="n"/>
    </row>
    <row r="65" ht="20" customHeight="1">
      <c r="A65" s="33" t="n"/>
      <c r="B65" s="49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7" t="n"/>
      <c r="S65" s="33" t="n"/>
      <c r="T65" s="49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7" t="n"/>
      <c r="AK65" s="33" t="n"/>
    </row>
    <row r="66" ht="20" customHeight="1">
      <c r="A66" s="33" t="n"/>
      <c r="B66" s="49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7" t="n"/>
      <c r="S66" s="33" t="n"/>
      <c r="T66" s="49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7" t="n"/>
      <c r="AK66" s="33" t="n"/>
    </row>
    <row r="67" ht="20" customHeight="1">
      <c r="A67" s="33" t="n"/>
      <c r="B67" s="49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7" t="n"/>
      <c r="S67" s="33" t="n"/>
      <c r="T67" s="49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7" t="n"/>
      <c r="AK67" s="33" t="n"/>
    </row>
    <row r="68" ht="20" customHeight="1">
      <c r="A68" s="33" t="n"/>
      <c r="B68" s="58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3" t="n"/>
      <c r="S68" s="33" t="n"/>
      <c r="T68" s="58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3" t="n"/>
      <c r="AK68" s="33" t="n"/>
    </row>
    <row r="69" ht="12" customHeight="1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  <c r="AC69" s="33" t="n"/>
      <c r="AD69" s="33" t="n"/>
      <c r="AE69" s="33" t="n"/>
      <c r="AF69" s="33" t="n"/>
      <c r="AG69" s="33" t="n"/>
      <c r="AH69" s="33" t="n"/>
      <c r="AI69" s="33" t="n"/>
      <c r="AJ69" s="33" t="n"/>
      <c r="AK69" s="33" t="n"/>
    </row>
    <row r="70" ht="20" customHeight="1">
      <c r="A70" s="33" t="n"/>
      <c r="B70" s="54" t="inlineStr">
        <is>
          <t>PERGUNTAS DE NEGÓCIO · respostas fixas, independentes dos filtros</t>
        </is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  <c r="AE70" s="34" t="n"/>
      <c r="AF70" s="34" t="n"/>
      <c r="AG70" s="34" t="n"/>
      <c r="AH70" s="34" t="n"/>
      <c r="AI70" s="34" t="n"/>
      <c r="AJ70" s="34" t="n"/>
      <c r="AK70" s="33" t="n"/>
    </row>
    <row r="71" ht="8" customHeight="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  <c r="AB71" s="33" t="n"/>
      <c r="AC71" s="33" t="n"/>
      <c r="AD71" s="33" t="n"/>
      <c r="AE71" s="33" t="n"/>
      <c r="AF71" s="33" t="n"/>
      <c r="AG71" s="33" t="n"/>
      <c r="AH71" s="33" t="n"/>
      <c r="AI71" s="33" t="n"/>
      <c r="AJ71" s="33" t="n"/>
      <c r="AK71" s="33" t="n"/>
    </row>
    <row r="72" ht="22" customHeight="1">
      <c r="A72" s="33" t="n"/>
      <c r="B72" s="42" t="inlineStr">
        <is>
          <t>P1 · FATURAMENTO DOS PLANOS ANUAIS</t>
        </is>
      </c>
      <c r="C72" s="43" t="n"/>
      <c r="D72" s="43" t="n"/>
      <c r="E72" s="43" t="n"/>
      <c r="F72" s="43" t="n"/>
      <c r="G72" s="43" t="n"/>
      <c r="H72" s="43" t="n"/>
      <c r="I72" s="44" t="n"/>
      <c r="J72" s="33" t="n"/>
      <c r="K72" s="42" t="inlineStr">
        <is>
          <t>P2 · ANUAIS COM AUTO-RENOVAÇÃO</t>
        </is>
      </c>
      <c r="L72" s="43" t="n"/>
      <c r="M72" s="43" t="n"/>
      <c r="N72" s="43" t="n"/>
      <c r="O72" s="43" t="n"/>
      <c r="P72" s="43" t="n"/>
      <c r="Q72" s="43" t="n"/>
      <c r="R72" s="44" t="n"/>
      <c r="S72" s="33" t="n"/>
      <c r="T72" s="42" t="inlineStr">
        <is>
          <t>P3 · TOTAL DE VENDAS EA PLAY</t>
        </is>
      </c>
      <c r="U72" s="43" t="n"/>
      <c r="V72" s="43" t="n"/>
      <c r="W72" s="43" t="n"/>
      <c r="X72" s="43" t="n"/>
      <c r="Y72" s="43" t="n"/>
      <c r="Z72" s="43" t="n"/>
      <c r="AA72" s="44" t="n"/>
      <c r="AB72" s="33" t="n"/>
      <c r="AC72" s="42" t="inlineStr">
        <is>
          <t>P4 · TOTAL DE VENDAS MINECRAFT</t>
        </is>
      </c>
      <c r="AD72" s="43" t="n"/>
      <c r="AE72" s="43" t="n"/>
      <c r="AF72" s="43" t="n"/>
      <c r="AG72" s="43" t="n"/>
      <c r="AH72" s="43" t="n"/>
      <c r="AI72" s="43" t="n"/>
      <c r="AJ72" s="44" t="n"/>
      <c r="AK72" s="33" t="n"/>
    </row>
    <row r="73" ht="40" customHeight="1">
      <c r="A73" s="33" t="n"/>
      <c r="B73" s="59">
        <f>'C̳álculos'!C6</f>
        <v>1754</v>
      </c>
      <c r="C73" s="46" t="n"/>
      <c r="D73" s="46" t="n"/>
      <c r="E73" s="46" t="n"/>
      <c r="F73" s="46" t="n"/>
      <c r="G73" s="46" t="n"/>
      <c r="H73" s="46" t="n"/>
      <c r="I73" s="47" t="n"/>
      <c r="J73" s="33" t="n"/>
      <c r="K73" s="59">
        <f>'C̳álculos'!C10</f>
        <v>1537</v>
      </c>
      <c r="L73" s="46" t="n"/>
      <c r="M73" s="46" t="n"/>
      <c r="N73" s="46" t="n"/>
      <c r="O73" s="46" t="n"/>
      <c r="P73" s="46" t="n"/>
      <c r="Q73" s="46" t="n"/>
      <c r="R73" s="47" t="n"/>
      <c r="S73" s="33" t="n"/>
      <c r="T73" s="59">
        <f>'C̳álculos'!C19</f>
        <v>2940</v>
      </c>
      <c r="U73" s="46" t="n"/>
      <c r="V73" s="46" t="n"/>
      <c r="W73" s="46" t="n"/>
      <c r="X73" s="46" t="n"/>
      <c r="Y73" s="46" t="n"/>
      <c r="Z73" s="46" t="n"/>
      <c r="AA73" s="47" t="n"/>
      <c r="AB73" s="33" t="n"/>
      <c r="AC73" s="59">
        <f>'C̳álculos'!C26</f>
        <v>3880</v>
      </c>
      <c r="AD73" s="46" t="n"/>
      <c r="AE73" s="46" t="n"/>
      <c r="AF73" s="46" t="n"/>
      <c r="AG73" s="46" t="n"/>
      <c r="AH73" s="46" t="n"/>
      <c r="AI73" s="46" t="n"/>
      <c r="AJ73" s="47" t="n"/>
      <c r="AK73" s="33" t="n"/>
    </row>
    <row r="74" ht="22" customHeight="1">
      <c r="A74" s="33" t="n"/>
      <c r="B74" s="51" t="str">
        <f>"Todas as assinaturas anuais agregadas"</f>
        <v>Todas as assinaturas anuais agregadas</v>
      </c>
      <c r="C74" s="52" t="n"/>
      <c r="D74" s="52" t="n"/>
      <c r="E74" s="52" t="n"/>
      <c r="F74" s="52" t="n"/>
      <c r="G74" s="52" t="n"/>
      <c r="H74" s="52" t="n"/>
      <c r="I74" s="53" t="n"/>
      <c r="J74" s="33" t="n"/>
      <c r="K74" s="51" t="str">
        <f>"Sem auto-renovação: R$ "&amp;ROUND('C̳álculos'!C11,0)</f>
        <v>Sem auto-renovação: R$ 217</v>
      </c>
      <c r="L74" s="52" t="n"/>
      <c r="M74" s="52" t="n"/>
      <c r="N74" s="52" t="n"/>
      <c r="O74" s="52" t="n"/>
      <c r="P74" s="52" t="n"/>
      <c r="Q74" s="52" t="n"/>
      <c r="R74" s="53" t="n"/>
      <c r="S74" s="33" t="n"/>
      <c r="T74" s="51" t="str">
        <f>'C̳álculos'!D19&amp;" assinaturas vendidas"</f>
        <v>98 assinaturas vendidas</v>
      </c>
      <c r="U74" s="52" t="n"/>
      <c r="V74" s="52" t="n"/>
      <c r="W74" s="52" t="n"/>
      <c r="X74" s="52" t="n"/>
      <c r="Y74" s="52" t="n"/>
      <c r="Z74" s="52" t="n"/>
      <c r="AA74" s="53" t="n"/>
      <c r="AB74" s="33" t="n"/>
      <c r="AC74" s="51" t="str">
        <f>'C̳álculos'!D26&amp;" assinaturas vendidas"</f>
        <v>194 assinaturas vendidas</v>
      </c>
      <c r="AD74" s="52" t="n"/>
      <c r="AE74" s="52" t="n"/>
      <c r="AF74" s="52" t="n"/>
      <c r="AG74" s="52" t="n"/>
      <c r="AH74" s="52" t="n"/>
      <c r="AI74" s="52" t="n"/>
      <c r="AJ74" s="53" t="n"/>
      <c r="AK74" s="33" t="n"/>
    </row>
    <row r="75" ht="10" customHeight="1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  <c r="AB75" s="33" t="n"/>
      <c r="AC75" s="33" t="n"/>
      <c r="AD75" s="33" t="n"/>
      <c r="AE75" s="33" t="n"/>
      <c r="AF75" s="33" t="n"/>
      <c r="AG75" s="33" t="n"/>
      <c r="AH75" s="33" t="n"/>
      <c r="AI75" s="33" t="n"/>
      <c r="AJ75" s="33" t="n"/>
      <c r="AK75" s="33" t="n"/>
    </row>
    <row r="76" ht="20" customHeight="1">
      <c r="A76" s="33" t="n"/>
      <c r="B76" s="60" t="inlineStr">
        <is>
          <t>Fonte: base.xlsx (DIO · Santander 2026) · 295 assinantes, jan–dez/2024 · Dashboard desenvolvido por Álvaro Machado Júnior</t>
        </is>
      </c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33" t="n"/>
      <c r="AE76" s="33" t="n"/>
      <c r="AF76" s="33" t="n"/>
      <c r="AG76" s="33" t="n"/>
      <c r="AH76" s="33" t="n"/>
      <c r="AI76" s="33" t="n"/>
      <c r="AJ76" s="33" t="n"/>
      <c r="AK76" s="33" t="n"/>
    </row>
    <row r="77" ht="20" customHeight="1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3" t="n"/>
      <c r="AJ77" s="33" t="n"/>
      <c r="AK77" s="33" t="n"/>
    </row>
    <row r="78"/>
    <row r="79"/>
    <row r="80"/>
    <row r="81"/>
    <row r="82"/>
    <row r="83"/>
    <row r="84"/>
    <row r="85"/>
    <row r="86"/>
    <row r="87"/>
    <row r="88"/>
    <row r="89"/>
    <row r="90"/>
  </sheetData>
  <mergeCells count="49">
    <mergeCell ref="K74:R74"/>
    <mergeCell ref="N11:R11"/>
    <mergeCell ref="B76:AJ76"/>
    <mergeCell ref="N7:R7"/>
    <mergeCell ref="Z11:AD11"/>
    <mergeCell ref="F3:AI3"/>
    <mergeCell ref="H10:L10"/>
    <mergeCell ref="B16:R16"/>
    <mergeCell ref="B72:I72"/>
    <mergeCell ref="H9:L9"/>
    <mergeCell ref="B52:R52"/>
    <mergeCell ref="T10:X10"/>
    <mergeCell ref="AC74:AJ74"/>
    <mergeCell ref="B11:F11"/>
    <mergeCell ref="K72:R72"/>
    <mergeCell ref="B14:L14"/>
    <mergeCell ref="AA10:AD10"/>
    <mergeCell ref="AG10:AJ10"/>
    <mergeCell ref="T9:X9"/>
    <mergeCell ref="K7:M7"/>
    <mergeCell ref="AF9:AJ9"/>
    <mergeCell ref="B70:AJ70"/>
    <mergeCell ref="B73:I73"/>
    <mergeCell ref="N14:X14"/>
    <mergeCell ref="T74:AA74"/>
    <mergeCell ref="H11:L11"/>
    <mergeCell ref="AC73:AJ73"/>
    <mergeCell ref="T73:AA73"/>
    <mergeCell ref="B10:F10"/>
    <mergeCell ref="AC72:AJ72"/>
    <mergeCell ref="T11:X11"/>
    <mergeCell ref="AF11:AJ11"/>
    <mergeCell ref="N10:R10"/>
    <mergeCell ref="B13:AJ13"/>
    <mergeCell ref="B7:D7"/>
    <mergeCell ref="B34:X34"/>
    <mergeCell ref="B9:F9"/>
    <mergeCell ref="Z14:AJ14"/>
    <mergeCell ref="B74:I74"/>
    <mergeCell ref="N9:R9"/>
    <mergeCell ref="E7:I7"/>
    <mergeCell ref="K73:R73"/>
    <mergeCell ref="F4:AI4"/>
    <mergeCell ref="T72:AA72"/>
    <mergeCell ref="T7:AJ7"/>
    <mergeCell ref="Z34:AJ34"/>
    <mergeCell ref="T16:AJ16"/>
    <mergeCell ref="T52:AJ52"/>
    <mergeCell ref="Z9:AD9"/>
  </mergeCells>
  <dataValidations count="2">
    <dataValidation sqref="E7" showDropDown="0" showInputMessage="0" showErrorMessage="0" allowBlank="0" error="Escolha uma opção da lista." type="list">
      <formula1>"Todos,Mensal,Trimestral,Anual"</formula1>
    </dataValidation>
    <dataValidation sqref="N7" showDropDown="0" showInputMessage="0" showErrorMessage="0" allowBlank="0" error="Escolha uma opção da lista." type="list">
      <formula1>"Todos,Core,Standard,Ultimate"</formula1>
    </dataValidation>
  </dataValidations>
  <pageMargins left="0.511811024" right="0.511811024" top="0.787401575" bottom="0.787401575" header="0.31496062" footer="0.31496062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2026-10-13T15:35:20Z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